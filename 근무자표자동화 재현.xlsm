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914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user/Desktop/dev/military_scheduler/"/>
    </mc:Choice>
  </mc:AlternateContent>
  <xr:revisionPtr revIDLastSave="0" documentId="13_ncr:1_{66325DF0-3906-6041-A392-00073FE01215}" xr6:coauthVersionLast="36" xr6:coauthVersionMax="36" xr10:uidLastSave="{00000000-0000-0000-0000-000000000000}"/>
  <bookViews>
    <workbookView xWindow="0" yWindow="0" windowWidth="28800" windowHeight="18000" tabRatio="500" xr2:uid="{00000000-000D-0000-FFFF-FFFF00000000}"/>
  </bookViews>
  <sheets>
    <sheet name="시트1" sheetId="1" r:id="rId1"/>
    <sheet name="상황1" sheetId="2" r:id="rId2"/>
    <sheet name="상황2" sheetId="3" r:id="rId3"/>
  </sheets>
  <functionGroups builtInGroupCount="19"/>
  <calcPr calcId="181029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69" i="1" l="1"/>
  <c r="B55" i="1"/>
  <c r="B56" i="1"/>
  <c r="B57" i="1"/>
  <c r="B58" i="1"/>
  <c r="B59" i="1"/>
  <c r="B54" i="1"/>
  <c r="H69" i="1"/>
  <c r="I69" i="1"/>
  <c r="E69" i="1"/>
  <c r="F69" i="1"/>
  <c r="G69" i="1"/>
  <c r="D69" i="1"/>
  <c r="E65" i="1"/>
  <c r="H63" i="1"/>
  <c r="I63" i="1"/>
  <c r="J63" i="1"/>
  <c r="H64" i="1"/>
  <c r="I64" i="1"/>
  <c r="J64" i="1"/>
  <c r="H65" i="1"/>
  <c r="I65" i="1"/>
  <c r="J65" i="1"/>
  <c r="H66" i="1"/>
  <c r="I66" i="1"/>
  <c r="J66" i="1"/>
  <c r="H67" i="1"/>
  <c r="I67" i="1"/>
  <c r="J67" i="1"/>
  <c r="H70" i="1"/>
  <c r="I70" i="1"/>
  <c r="J70" i="1"/>
  <c r="H71" i="1"/>
  <c r="I71" i="1"/>
  <c r="J71" i="1"/>
  <c r="H72" i="1"/>
  <c r="I72" i="1"/>
  <c r="J72" i="1"/>
  <c r="H73" i="1"/>
  <c r="I73" i="1"/>
  <c r="J73" i="1"/>
  <c r="H74" i="1"/>
  <c r="I74" i="1"/>
  <c r="J74" i="1"/>
  <c r="E63" i="1"/>
  <c r="F63" i="1"/>
  <c r="G63" i="1"/>
  <c r="E64" i="1"/>
  <c r="F64" i="1"/>
  <c r="G64" i="1"/>
  <c r="F65" i="1"/>
  <c r="G65" i="1"/>
  <c r="E66" i="1"/>
  <c r="F66" i="1"/>
  <c r="G66" i="1"/>
  <c r="E67" i="1"/>
  <c r="F67" i="1"/>
  <c r="G67" i="1"/>
  <c r="E70" i="1"/>
  <c r="F70" i="1"/>
  <c r="G70" i="1"/>
  <c r="E71" i="1"/>
  <c r="F71" i="1"/>
  <c r="G71" i="1"/>
  <c r="E72" i="1"/>
  <c r="F72" i="1"/>
  <c r="G72" i="1"/>
  <c r="E73" i="1"/>
  <c r="F73" i="1"/>
  <c r="G73" i="1"/>
  <c r="E74" i="1"/>
  <c r="F74" i="1"/>
  <c r="G74" i="1"/>
  <c r="J57" i="1"/>
  <c r="J58" i="1"/>
  <c r="J59" i="1"/>
  <c r="J60" i="1"/>
  <c r="J61" i="1"/>
  <c r="H57" i="1"/>
  <c r="I57" i="1"/>
  <c r="H58" i="1"/>
  <c r="I58" i="1"/>
  <c r="H59" i="1"/>
  <c r="I59" i="1"/>
  <c r="H60" i="1"/>
  <c r="I60" i="1"/>
  <c r="H61" i="1"/>
  <c r="I61" i="1"/>
  <c r="E57" i="1"/>
  <c r="F57" i="1"/>
  <c r="G57" i="1"/>
  <c r="E58" i="1"/>
  <c r="F58" i="1"/>
  <c r="G58" i="1"/>
  <c r="E59" i="1"/>
  <c r="F59" i="1"/>
  <c r="G59" i="1"/>
  <c r="E60" i="1"/>
  <c r="F60" i="1"/>
  <c r="G60" i="1"/>
  <c r="E61" i="1"/>
  <c r="F61" i="1"/>
  <c r="G61" i="1"/>
  <c r="D58" i="1"/>
  <c r="D59" i="1"/>
  <c r="D60" i="1"/>
  <c r="D61" i="1"/>
  <c r="D63" i="1"/>
  <c r="D64" i="1"/>
  <c r="D65" i="1"/>
  <c r="D66" i="1"/>
  <c r="D67" i="1"/>
  <c r="D70" i="1"/>
  <c r="D71" i="1"/>
  <c r="D72" i="1"/>
  <c r="D73" i="1"/>
  <c r="D74" i="1"/>
  <c r="D57" i="1"/>
  <c r="J55" i="1"/>
  <c r="E55" i="1"/>
  <c r="F55" i="1"/>
  <c r="G55" i="1"/>
  <c r="H55" i="1"/>
  <c r="I55" i="1"/>
  <c r="D55" i="1"/>
  <c r="E54" i="1"/>
  <c r="F54" i="1"/>
  <c r="G54" i="1"/>
  <c r="H54" i="1"/>
  <c r="I54" i="1"/>
  <c r="J54" i="1"/>
  <c r="D54" i="1"/>
  <c r="B60" i="1" l="1"/>
</calcChain>
</file>

<file path=xl/sharedStrings.xml><?xml version="1.0" encoding="utf-8"?>
<sst xmlns="http://schemas.openxmlformats.org/spreadsheetml/2006/main" count="887" uniqueCount="118">
  <si>
    <t>이름</t>
    <phoneticPr fontId="1" type="noConversion"/>
  </si>
  <si>
    <t>직무</t>
    <phoneticPr fontId="1" type="noConversion"/>
  </si>
  <si>
    <t>상태</t>
    <phoneticPr fontId="1" type="noConversion"/>
  </si>
  <si>
    <t>월</t>
    <phoneticPr fontId="1" type="noConversion"/>
  </si>
  <si>
    <t>화</t>
    <phoneticPr fontId="1" type="noConversion"/>
  </si>
  <si>
    <t>수</t>
    <phoneticPr fontId="1" type="noConversion"/>
  </si>
  <si>
    <t>목</t>
    <phoneticPr fontId="1" type="noConversion"/>
  </si>
  <si>
    <t>금</t>
    <phoneticPr fontId="1" type="noConversion"/>
  </si>
  <si>
    <t>토</t>
    <phoneticPr fontId="1" type="noConversion"/>
  </si>
  <si>
    <t>일</t>
    <phoneticPr fontId="1" type="noConversion"/>
  </si>
  <si>
    <t>사수/부사수</t>
    <phoneticPr fontId="1" type="noConversion"/>
  </si>
  <si>
    <t>사람1</t>
    <phoneticPr fontId="1" type="noConversion"/>
  </si>
  <si>
    <t>사람2</t>
    <phoneticPr fontId="1" type="noConversion"/>
  </si>
  <si>
    <t>사람3</t>
    <phoneticPr fontId="1" type="noConversion"/>
  </si>
  <si>
    <t>사람4</t>
    <phoneticPr fontId="1" type="noConversion"/>
  </si>
  <si>
    <t>사람5</t>
  </si>
  <si>
    <t>사람6</t>
  </si>
  <si>
    <t>사람7</t>
  </si>
  <si>
    <t>사람8</t>
  </si>
  <si>
    <t>사람9</t>
  </si>
  <si>
    <t>사람10</t>
  </si>
  <si>
    <t>사람11</t>
  </si>
  <si>
    <t>사람12</t>
  </si>
  <si>
    <t>사람13</t>
  </si>
  <si>
    <t>사람14</t>
  </si>
  <si>
    <t>사람15</t>
  </si>
  <si>
    <t>사람16</t>
  </si>
  <si>
    <t>사람17</t>
  </si>
  <si>
    <t>사람18</t>
  </si>
  <si>
    <t>사람19</t>
  </si>
  <si>
    <t>사람20</t>
  </si>
  <si>
    <t>사람21</t>
  </si>
  <si>
    <t>사람22</t>
  </si>
  <si>
    <t>사람23</t>
  </si>
  <si>
    <t>사람24</t>
  </si>
  <si>
    <t>사람25</t>
  </si>
  <si>
    <t>사람26</t>
  </si>
  <si>
    <t>사람27</t>
  </si>
  <si>
    <t>사람28</t>
  </si>
  <si>
    <t>사람29</t>
  </si>
  <si>
    <t>사람30</t>
  </si>
  <si>
    <t>사람31</t>
  </si>
  <si>
    <t>사람32</t>
  </si>
  <si>
    <t>사람33</t>
  </si>
  <si>
    <t>사람34</t>
  </si>
  <si>
    <t>사람35</t>
  </si>
  <si>
    <t>사람36</t>
  </si>
  <si>
    <t>사람37</t>
  </si>
  <si>
    <t>사람38</t>
  </si>
  <si>
    <t>사람39</t>
  </si>
  <si>
    <t>사람40</t>
  </si>
  <si>
    <t>사람41</t>
  </si>
  <si>
    <t>사람42</t>
  </si>
  <si>
    <t>사람43</t>
  </si>
  <si>
    <t>사람44</t>
  </si>
  <si>
    <t>사람45</t>
  </si>
  <si>
    <t>사람46</t>
  </si>
  <si>
    <t>사람47</t>
  </si>
  <si>
    <t>사람48</t>
  </si>
  <si>
    <t xml:space="preserve">운전병 </t>
  </si>
  <si>
    <t xml:space="preserve">정보병 </t>
  </si>
  <si>
    <t xml:space="preserve">외박 </t>
  </si>
  <si>
    <t>외출</t>
  </si>
  <si>
    <t>사람49</t>
  </si>
  <si>
    <t>사람50</t>
  </si>
  <si>
    <t>문서취급병</t>
    <phoneticPr fontId="1" type="noConversion"/>
  </si>
  <si>
    <t>사수</t>
    <phoneticPr fontId="1" type="noConversion"/>
  </si>
  <si>
    <t>부사수</t>
    <phoneticPr fontId="1" type="noConversion"/>
  </si>
  <si>
    <t>당직</t>
    <phoneticPr fontId="1" type="noConversion"/>
  </si>
  <si>
    <t>행정병</t>
  </si>
  <si>
    <t xml:space="preserve">상황팩스병 </t>
    <phoneticPr fontId="1" type="noConversion"/>
  </si>
  <si>
    <t>화상회의병</t>
  </si>
  <si>
    <t>휴가</t>
    <phoneticPr fontId="1" type="noConversion"/>
  </si>
  <si>
    <t>새벽근무</t>
    <phoneticPr fontId="1" type="noConversion"/>
  </si>
  <si>
    <t>야간근무</t>
    <phoneticPr fontId="1" type="noConversion"/>
  </si>
  <si>
    <t>야간근무</t>
    <phoneticPr fontId="1" type="noConversion"/>
  </si>
  <si>
    <t>VTC</t>
    <phoneticPr fontId="1" type="noConversion"/>
  </si>
  <si>
    <t>AMP</t>
  </si>
  <si>
    <t>AMP</t>
    <phoneticPr fontId="1" type="noConversion"/>
  </si>
  <si>
    <t>VTC</t>
    <phoneticPr fontId="1" type="noConversion"/>
  </si>
  <si>
    <t>불침번1</t>
    <phoneticPr fontId="1" type="noConversion"/>
  </si>
  <si>
    <t>불침번2</t>
    <phoneticPr fontId="1" type="noConversion"/>
  </si>
  <si>
    <t>불침번3</t>
    <phoneticPr fontId="1" type="noConversion"/>
  </si>
  <si>
    <t>불침번4</t>
    <phoneticPr fontId="1" type="noConversion"/>
  </si>
  <si>
    <t>불침번5</t>
    <phoneticPr fontId="1" type="noConversion"/>
  </si>
  <si>
    <t>불침번6</t>
    <phoneticPr fontId="1" type="noConversion"/>
  </si>
  <si>
    <t>초병1/사수</t>
  </si>
  <si>
    <t>초병1/사수</t>
    <phoneticPr fontId="1" type="noConversion"/>
  </si>
  <si>
    <t>초병1/부사수</t>
  </si>
  <si>
    <t>초병1/부사수</t>
    <phoneticPr fontId="1" type="noConversion"/>
  </si>
  <si>
    <t>초병2/사수</t>
  </si>
  <si>
    <t>초병2/사수</t>
    <phoneticPr fontId="1" type="noConversion"/>
  </si>
  <si>
    <t>초병3/사수</t>
  </si>
  <si>
    <t>초병3/사수</t>
    <phoneticPr fontId="1" type="noConversion"/>
  </si>
  <si>
    <t>초병4/사수</t>
  </si>
  <si>
    <t>초병4/사수</t>
    <phoneticPr fontId="1" type="noConversion"/>
  </si>
  <si>
    <t>초병5/사수</t>
  </si>
  <si>
    <t>초병5/사수</t>
    <phoneticPr fontId="1" type="noConversion"/>
  </si>
  <si>
    <t>초병2/부사수</t>
  </si>
  <si>
    <t>초병2/부사수</t>
    <phoneticPr fontId="1" type="noConversion"/>
  </si>
  <si>
    <t>초병3/부사수</t>
  </si>
  <si>
    <t>초병3/부사수</t>
    <phoneticPr fontId="1" type="noConversion"/>
  </si>
  <si>
    <t>초병4/부사수</t>
  </si>
  <si>
    <t>초병4/부사수</t>
    <phoneticPr fontId="1" type="noConversion"/>
  </si>
  <si>
    <t>초병5/부사수</t>
  </si>
  <si>
    <t>초병5/부사수</t>
    <phoneticPr fontId="1" type="noConversion"/>
  </si>
  <si>
    <t>운전병</t>
    <phoneticPr fontId="1" type="noConversion"/>
  </si>
  <si>
    <t>화상회의병</t>
    <phoneticPr fontId="1" type="noConversion"/>
  </si>
  <si>
    <t>상황팩스병</t>
    <phoneticPr fontId="1" type="noConversion"/>
  </si>
  <si>
    <t>정보병</t>
    <phoneticPr fontId="1" type="noConversion"/>
  </si>
  <si>
    <t>행정병</t>
    <phoneticPr fontId="1" type="noConversion"/>
  </si>
  <si>
    <t>총</t>
    <phoneticPr fontId="1" type="noConversion"/>
  </si>
  <si>
    <t>불침번1</t>
  </si>
  <si>
    <t>불침번3</t>
  </si>
  <si>
    <t>불침번5</t>
  </si>
  <si>
    <t>불침번2</t>
  </si>
  <si>
    <t>불침번4</t>
  </si>
  <si>
    <t>불침번6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</si>
</sst>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2"/>
      <color theme="10"/>
      <name val="맑은 고딕"/>
      <family val="2"/>
      <charset val="129"/>
      <scheme val="minor"/>
    </font>
    <font>
      <u/>
      <sz val="12"/>
      <color theme="11"/>
      <name val="맑은 고딕"/>
      <family val="2"/>
      <charset val="129"/>
      <scheme val="minor"/>
    </font>
    <font>
      <sz val="12"/>
      <color rgb="FF000000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4">
    <xf numFmtId="0" fontId="0" fillId="0" borderId="0" xfId="0"/>
    <xf numFmtId="0" fontId="0" fillId="0" borderId="0" xfId="0" applyFill="1"/>
    <xf numFmtId="0" fontId="0" fillId="0" borderId="0" xfId="0" applyAlignment="1">
      <alignment horizontal="left" vertical="top" wrapText="1"/>
    </xf>
    <xf numFmtId="0" fontId="4" fillId="0" borderId="0" xfId="0" applyFont="1"/>
  </cellXfs>
  <cellStyles count="5">
    <cellStyle name="열어 본 하이퍼링크" xfId="2" builtinId="9" hidden="1"/>
    <cellStyle name="열어 본 하이퍼링크" xfId="4" builtinId="9" hidden="1"/>
    <cellStyle name="표준" xfId="0" builtinId="0"/>
    <cellStyle name="하이퍼링크" xfId="1" builtinId="8" hidden="1"/>
    <cellStyle name="하이퍼링크" xfId="3" builtinId="8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시트1"/>
  <dimension ref="A1:Q98"/>
  <sheetViews>
    <sheetView tabSelected="1" workbookViewId="0">
      <selection activeCell="F29" sqref="F29"/>
    </sheetView>
  </sheetViews>
  <sheetFormatPr baseColWidth="10" defaultRowHeight="18"/>
  <cols>
    <col min="11" max="11" width="10.5703125" customWidth="1"/>
  </cols>
  <sheetData>
    <row r="1" spans="1:17">
      <c r="A1" s="1" t="s">
        <v>0</v>
      </c>
      <c r="B1" t="s">
        <v>1</v>
      </c>
      <c r="C1" t="s">
        <v>10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N1" s="2"/>
      <c r="O1" s="2"/>
      <c r="P1" s="2"/>
      <c r="Q1" s="2"/>
    </row>
    <row r="2" spans="1:17">
      <c r="A2" s="1" t="s">
        <v>11</v>
      </c>
      <c r="B2" t="s">
        <v>65</v>
      </c>
      <c r="C2" t="s">
        <v>66</v>
      </c>
      <c r="E2" t="s">
        <v>94</v>
      </c>
      <c r="G2" t="s">
        <v>90</v>
      </c>
      <c r="H2" t="s">
        <v>92</v>
      </c>
      <c r="I2" t="s">
        <v>92</v>
      </c>
      <c r="M2" s="2"/>
      <c r="N2" s="2"/>
      <c r="O2" s="2"/>
      <c r="P2" s="2"/>
      <c r="Q2" s="2"/>
    </row>
    <row r="3" spans="1:17">
      <c r="A3" s="1" t="s">
        <v>12</v>
      </c>
      <c r="B3" t="s">
        <v>106</v>
      </c>
      <c r="C3" t="s">
        <v>66</v>
      </c>
      <c r="D3" t="s">
        <v>72</v>
      </c>
      <c r="E3" t="s">
        <v>72</v>
      </c>
      <c r="F3" t="s">
        <v>72</v>
      </c>
      <c r="G3" t="s">
        <v>72</v>
      </c>
      <c r="H3" t="s">
        <v>72</v>
      </c>
      <c r="I3" t="s">
        <v>72</v>
      </c>
      <c r="J3" t="s">
        <v>72</v>
      </c>
      <c r="M3" s="2"/>
      <c r="N3" s="2"/>
      <c r="O3" s="2"/>
      <c r="P3" s="2"/>
      <c r="Q3" s="2"/>
    </row>
    <row r="4" spans="1:17">
      <c r="A4" s="1" t="s">
        <v>13</v>
      </c>
      <c r="B4" t="s">
        <v>71</v>
      </c>
      <c r="C4" t="s">
        <v>66</v>
      </c>
      <c r="D4" t="s">
        <v>76</v>
      </c>
      <c r="H4" t="s">
        <v>76</v>
      </c>
      <c r="J4" t="s">
        <v>92</v>
      </c>
      <c r="N4" s="2"/>
      <c r="O4" s="2"/>
      <c r="P4" s="2"/>
      <c r="Q4" s="2"/>
    </row>
    <row r="5" spans="1:17">
      <c r="A5" s="1" t="s">
        <v>14</v>
      </c>
      <c r="B5" t="s">
        <v>69</v>
      </c>
      <c r="C5" t="s">
        <v>66</v>
      </c>
      <c r="E5" t="s">
        <v>92</v>
      </c>
      <c r="F5" t="s">
        <v>86</v>
      </c>
      <c r="H5" t="s">
        <v>86</v>
      </c>
      <c r="I5" t="s">
        <v>90</v>
      </c>
      <c r="N5" s="2"/>
      <c r="O5" s="2"/>
      <c r="P5" s="2"/>
      <c r="Q5" s="2"/>
    </row>
    <row r="6" spans="1:17">
      <c r="A6" s="1" t="s">
        <v>15</v>
      </c>
      <c r="B6" t="s">
        <v>65</v>
      </c>
      <c r="C6" t="s">
        <v>66</v>
      </c>
      <c r="D6" t="s">
        <v>86</v>
      </c>
      <c r="F6" t="s">
        <v>90</v>
      </c>
      <c r="H6" t="s">
        <v>94</v>
      </c>
      <c r="I6" t="s">
        <v>62</v>
      </c>
      <c r="J6" t="s">
        <v>90</v>
      </c>
      <c r="N6" s="2"/>
      <c r="O6" s="2"/>
      <c r="P6" s="2"/>
      <c r="Q6" s="2"/>
    </row>
    <row r="7" spans="1:17">
      <c r="A7" s="1" t="s">
        <v>16</v>
      </c>
      <c r="B7" t="s">
        <v>71</v>
      </c>
      <c r="C7" t="s">
        <v>66</v>
      </c>
      <c r="E7" t="s">
        <v>76</v>
      </c>
      <c r="F7" t="s">
        <v>115</v>
      </c>
      <c r="G7" t="s">
        <v>76</v>
      </c>
      <c r="I7" t="s">
        <v>94</v>
      </c>
      <c r="N7" s="2"/>
      <c r="O7" s="2"/>
      <c r="P7" s="2"/>
      <c r="Q7" s="2"/>
    </row>
    <row r="8" spans="1:17">
      <c r="A8" s="1" t="s">
        <v>17</v>
      </c>
      <c r="B8" t="s">
        <v>71</v>
      </c>
      <c r="C8" t="s">
        <v>66</v>
      </c>
      <c r="D8" t="s">
        <v>72</v>
      </c>
      <c r="E8" t="s">
        <v>72</v>
      </c>
      <c r="F8" t="s">
        <v>72</v>
      </c>
      <c r="G8" t="s">
        <v>72</v>
      </c>
      <c r="H8" t="s">
        <v>72</v>
      </c>
      <c r="I8" t="s">
        <v>72</v>
      </c>
      <c r="J8" t="s">
        <v>72</v>
      </c>
      <c r="N8" s="2"/>
      <c r="O8" s="2"/>
      <c r="P8" s="2"/>
      <c r="Q8" s="2"/>
    </row>
    <row r="9" spans="1:17">
      <c r="A9" s="1" t="s">
        <v>18</v>
      </c>
      <c r="B9" t="s">
        <v>65</v>
      </c>
      <c r="C9" t="s">
        <v>66</v>
      </c>
      <c r="D9" t="s">
        <v>94</v>
      </c>
      <c r="F9" t="s">
        <v>96</v>
      </c>
      <c r="G9" t="s">
        <v>96</v>
      </c>
      <c r="H9" t="s">
        <v>96</v>
      </c>
      <c r="N9" s="2"/>
      <c r="O9" s="2"/>
      <c r="P9" s="2"/>
      <c r="Q9" s="2"/>
    </row>
    <row r="10" spans="1:17">
      <c r="A10" s="1" t="s">
        <v>19</v>
      </c>
      <c r="B10" t="s">
        <v>109</v>
      </c>
      <c r="C10" t="s">
        <v>66</v>
      </c>
      <c r="D10" t="s">
        <v>73</v>
      </c>
      <c r="I10" t="s">
        <v>96</v>
      </c>
      <c r="J10" t="s">
        <v>62</v>
      </c>
      <c r="N10" s="2"/>
      <c r="O10" s="2"/>
      <c r="P10" s="2"/>
      <c r="Q10" s="2"/>
    </row>
    <row r="11" spans="1:17">
      <c r="A11" s="1" t="s">
        <v>20</v>
      </c>
      <c r="B11" t="s">
        <v>108</v>
      </c>
      <c r="C11" t="s">
        <v>66</v>
      </c>
      <c r="E11" t="s">
        <v>115</v>
      </c>
      <c r="G11" t="s">
        <v>116</v>
      </c>
      <c r="H11" t="s">
        <v>114</v>
      </c>
      <c r="J11" t="s">
        <v>94</v>
      </c>
      <c r="N11" s="2"/>
      <c r="O11" s="2"/>
      <c r="P11" s="2"/>
      <c r="Q11" s="2"/>
    </row>
    <row r="12" spans="1:17">
      <c r="A12" s="1" t="s">
        <v>21</v>
      </c>
      <c r="B12" t="s">
        <v>65</v>
      </c>
      <c r="C12" t="s">
        <v>66</v>
      </c>
      <c r="D12" t="s">
        <v>68</v>
      </c>
      <c r="E12" t="s">
        <v>68</v>
      </c>
      <c r="F12" t="s">
        <v>68</v>
      </c>
      <c r="G12" t="s">
        <v>68</v>
      </c>
      <c r="H12" t="s">
        <v>68</v>
      </c>
      <c r="I12" t="s">
        <v>68</v>
      </c>
      <c r="J12" t="s">
        <v>68</v>
      </c>
      <c r="N12" s="2"/>
      <c r="O12" s="2"/>
      <c r="P12" s="2"/>
      <c r="Q12" s="2"/>
    </row>
    <row r="13" spans="1:17">
      <c r="A13" s="1" t="s">
        <v>22</v>
      </c>
      <c r="B13" t="s">
        <v>108</v>
      </c>
      <c r="C13" t="s">
        <v>66</v>
      </c>
      <c r="D13" t="s">
        <v>78</v>
      </c>
      <c r="E13" t="s">
        <v>112</v>
      </c>
      <c r="F13" t="s">
        <v>78</v>
      </c>
      <c r="H13" t="s">
        <v>117</v>
      </c>
      <c r="N13" s="2"/>
      <c r="O13" s="2"/>
      <c r="P13" s="2"/>
      <c r="Q13" s="2"/>
    </row>
    <row r="14" spans="1:17">
      <c r="A14" s="1" t="s">
        <v>23</v>
      </c>
      <c r="B14" t="s">
        <v>106</v>
      </c>
      <c r="C14" t="s">
        <v>66</v>
      </c>
      <c r="E14" t="s">
        <v>90</v>
      </c>
      <c r="F14" t="s">
        <v>94</v>
      </c>
      <c r="G14" t="s">
        <v>86</v>
      </c>
      <c r="H14" t="s">
        <v>90</v>
      </c>
      <c r="N14" s="2"/>
      <c r="O14" s="2"/>
      <c r="P14" s="2"/>
      <c r="Q14" s="2"/>
    </row>
    <row r="15" spans="1:17">
      <c r="A15" s="1" t="s">
        <v>24</v>
      </c>
      <c r="B15" t="s">
        <v>108</v>
      </c>
      <c r="C15" t="s">
        <v>66</v>
      </c>
      <c r="D15" t="s">
        <v>115</v>
      </c>
      <c r="F15" t="s">
        <v>76</v>
      </c>
      <c r="H15" t="s">
        <v>113</v>
      </c>
      <c r="I15" t="s">
        <v>113</v>
      </c>
      <c r="N15" s="2"/>
      <c r="O15" s="2"/>
      <c r="P15" s="2"/>
      <c r="Q15" s="2"/>
    </row>
    <row r="16" spans="1:17">
      <c r="A16" s="1" t="s">
        <v>25</v>
      </c>
      <c r="B16" t="s">
        <v>65</v>
      </c>
      <c r="C16" t="s">
        <v>66</v>
      </c>
      <c r="D16" t="s">
        <v>90</v>
      </c>
      <c r="E16" t="s">
        <v>86</v>
      </c>
      <c r="F16" t="s">
        <v>92</v>
      </c>
      <c r="G16" t="s">
        <v>92</v>
      </c>
      <c r="I16" t="s">
        <v>62</v>
      </c>
      <c r="N16" s="2"/>
      <c r="O16" s="2"/>
      <c r="P16" s="2"/>
      <c r="Q16" s="2"/>
    </row>
    <row r="17" spans="1:17">
      <c r="A17" s="1" t="s">
        <v>26</v>
      </c>
      <c r="B17" t="s">
        <v>108</v>
      </c>
      <c r="C17" t="s">
        <v>66</v>
      </c>
      <c r="D17" t="s">
        <v>112</v>
      </c>
      <c r="J17" t="s">
        <v>96</v>
      </c>
      <c r="N17" s="2"/>
      <c r="O17" s="2"/>
      <c r="P17" s="2"/>
      <c r="Q17" s="2"/>
    </row>
    <row r="18" spans="1:17">
      <c r="A18" s="1" t="s">
        <v>27</v>
      </c>
      <c r="B18" t="s">
        <v>106</v>
      </c>
      <c r="C18" t="s">
        <v>66</v>
      </c>
      <c r="D18" t="s">
        <v>68</v>
      </c>
      <c r="E18" t="s">
        <v>68</v>
      </c>
      <c r="F18" t="s">
        <v>68</v>
      </c>
      <c r="G18" t="s">
        <v>68</v>
      </c>
      <c r="H18" t="s">
        <v>68</v>
      </c>
      <c r="I18" t="s">
        <v>68</v>
      </c>
      <c r="J18" t="s">
        <v>68</v>
      </c>
      <c r="N18" s="2"/>
      <c r="O18" s="2"/>
      <c r="P18" s="2"/>
      <c r="Q18" s="2"/>
    </row>
    <row r="19" spans="1:17">
      <c r="A19" s="1" t="s">
        <v>28</v>
      </c>
      <c r="B19" t="s">
        <v>71</v>
      </c>
      <c r="C19" t="s">
        <v>66</v>
      </c>
      <c r="D19" t="s">
        <v>68</v>
      </c>
      <c r="E19" t="s">
        <v>68</v>
      </c>
      <c r="F19" t="s">
        <v>68</v>
      </c>
      <c r="G19" t="s">
        <v>68</v>
      </c>
      <c r="H19" t="s">
        <v>68</v>
      </c>
      <c r="I19" t="s">
        <v>68</v>
      </c>
      <c r="J19" t="s">
        <v>68</v>
      </c>
      <c r="N19" s="2"/>
      <c r="O19" s="2"/>
      <c r="P19" s="2"/>
      <c r="Q19" s="2"/>
    </row>
    <row r="20" spans="1:17">
      <c r="A20" s="1" t="s">
        <v>29</v>
      </c>
      <c r="B20" t="s">
        <v>71</v>
      </c>
      <c r="C20" t="s">
        <v>66</v>
      </c>
      <c r="D20" t="s">
        <v>72</v>
      </c>
      <c r="E20" t="s">
        <v>72</v>
      </c>
      <c r="J20" t="s">
        <v>76</v>
      </c>
      <c r="N20" s="2"/>
      <c r="O20" s="2"/>
      <c r="P20" s="2"/>
      <c r="Q20" s="2"/>
    </row>
    <row r="21" spans="1:17">
      <c r="A21" s="1" t="s">
        <v>30</v>
      </c>
      <c r="B21" t="s">
        <v>65</v>
      </c>
      <c r="C21" t="s">
        <v>66</v>
      </c>
      <c r="D21" t="s">
        <v>92</v>
      </c>
      <c r="E21" t="s">
        <v>96</v>
      </c>
      <c r="F21" t="s">
        <v>114</v>
      </c>
      <c r="G21" t="s">
        <v>94</v>
      </c>
      <c r="N21" s="2"/>
      <c r="O21" s="2"/>
      <c r="P21" s="2"/>
      <c r="Q21" s="2"/>
    </row>
    <row r="22" spans="1:17">
      <c r="A22" s="1" t="s">
        <v>31</v>
      </c>
      <c r="B22" t="s">
        <v>106</v>
      </c>
      <c r="C22" t="s">
        <v>66</v>
      </c>
      <c r="D22" t="s">
        <v>96</v>
      </c>
      <c r="I22" t="s">
        <v>86</v>
      </c>
      <c r="J22" t="s">
        <v>86</v>
      </c>
      <c r="N22" s="2"/>
      <c r="O22" s="2"/>
      <c r="P22" s="2"/>
      <c r="Q22" s="2"/>
    </row>
    <row r="23" spans="1:17">
      <c r="A23" s="1" t="s">
        <v>32</v>
      </c>
      <c r="B23" t="s">
        <v>71</v>
      </c>
      <c r="C23" t="s">
        <v>66</v>
      </c>
      <c r="D23" t="s">
        <v>116</v>
      </c>
      <c r="E23" s="3" t="s">
        <v>77</v>
      </c>
      <c r="G23" t="s">
        <v>112</v>
      </c>
      <c r="I23" t="s">
        <v>114</v>
      </c>
      <c r="N23" s="2"/>
      <c r="O23" s="2"/>
      <c r="P23" s="2"/>
      <c r="Q23" s="2"/>
    </row>
    <row r="24" spans="1:17">
      <c r="A24" s="1" t="s">
        <v>33</v>
      </c>
      <c r="B24" t="s">
        <v>71</v>
      </c>
      <c r="C24" t="s">
        <v>66</v>
      </c>
      <c r="I24" t="s">
        <v>76</v>
      </c>
      <c r="N24" s="2"/>
      <c r="O24" s="2"/>
      <c r="P24" s="2"/>
      <c r="Q24" s="2"/>
    </row>
    <row r="25" spans="1:17">
      <c r="A25" s="1" t="s">
        <v>34</v>
      </c>
      <c r="B25" t="s">
        <v>109</v>
      </c>
      <c r="C25" t="s">
        <v>66</v>
      </c>
      <c r="G25" t="s">
        <v>114</v>
      </c>
      <c r="I25" t="s">
        <v>117</v>
      </c>
      <c r="J25" t="s">
        <v>112</v>
      </c>
      <c r="N25" s="2"/>
      <c r="O25" s="2"/>
      <c r="P25" s="2"/>
      <c r="Q25" s="2"/>
    </row>
    <row r="26" spans="1:17">
      <c r="A26" s="1" t="s">
        <v>35</v>
      </c>
      <c r="B26" t="s">
        <v>65</v>
      </c>
      <c r="C26" t="s">
        <v>67</v>
      </c>
      <c r="D26" t="s">
        <v>102</v>
      </c>
      <c r="H26" t="s">
        <v>98</v>
      </c>
      <c r="I26" t="s">
        <v>100</v>
      </c>
      <c r="J26" t="s">
        <v>100</v>
      </c>
      <c r="N26" s="2"/>
      <c r="O26" s="2"/>
      <c r="P26" s="2"/>
      <c r="Q26" s="2"/>
    </row>
    <row r="27" spans="1:17">
      <c r="A27" s="1" t="s">
        <v>36</v>
      </c>
      <c r="B27" t="s">
        <v>71</v>
      </c>
      <c r="C27" t="s">
        <v>67</v>
      </c>
      <c r="E27" t="s">
        <v>114</v>
      </c>
      <c r="H27" t="s">
        <v>76</v>
      </c>
      <c r="J27" t="s">
        <v>102</v>
      </c>
      <c r="N27" s="2"/>
      <c r="O27" s="2"/>
      <c r="P27" s="2"/>
      <c r="Q27" s="2"/>
    </row>
    <row r="28" spans="1:17">
      <c r="A28" s="1" t="s">
        <v>37</v>
      </c>
      <c r="B28" t="s">
        <v>71</v>
      </c>
      <c r="C28" t="s">
        <v>67</v>
      </c>
      <c r="I28" t="s">
        <v>62</v>
      </c>
      <c r="J28" s="3" t="s">
        <v>77</v>
      </c>
      <c r="N28" s="2"/>
      <c r="O28" s="2"/>
      <c r="P28" s="2"/>
      <c r="Q28" s="2"/>
    </row>
    <row r="29" spans="1:17">
      <c r="A29" s="1" t="s">
        <v>38</v>
      </c>
      <c r="B29" t="s">
        <v>65</v>
      </c>
      <c r="C29" t="s">
        <v>67</v>
      </c>
      <c r="D29" t="s">
        <v>104</v>
      </c>
      <c r="E29" t="s">
        <v>104</v>
      </c>
      <c r="F29" t="s">
        <v>113</v>
      </c>
      <c r="H29" t="s">
        <v>104</v>
      </c>
    </row>
    <row r="30" spans="1:17">
      <c r="A30" s="1" t="s">
        <v>39</v>
      </c>
      <c r="B30" t="s">
        <v>71</v>
      </c>
      <c r="C30" t="s">
        <v>67</v>
      </c>
      <c r="D30" t="s">
        <v>72</v>
      </c>
      <c r="E30" t="s">
        <v>72</v>
      </c>
      <c r="F30" t="s">
        <v>72</v>
      </c>
      <c r="G30" t="s">
        <v>72</v>
      </c>
      <c r="H30" t="s">
        <v>72</v>
      </c>
      <c r="I30" t="s">
        <v>72</v>
      </c>
      <c r="J30" t="s">
        <v>104</v>
      </c>
    </row>
    <row r="31" spans="1:17">
      <c r="A31" s="1" t="s">
        <v>40</v>
      </c>
      <c r="B31" t="s">
        <v>69</v>
      </c>
      <c r="C31" t="s">
        <v>67</v>
      </c>
      <c r="D31" t="s">
        <v>98</v>
      </c>
      <c r="F31" t="s">
        <v>100</v>
      </c>
      <c r="G31" t="s">
        <v>100</v>
      </c>
      <c r="H31" t="s">
        <v>88</v>
      </c>
    </row>
    <row r="32" spans="1:17">
      <c r="A32" s="1" t="s">
        <v>41</v>
      </c>
      <c r="B32" t="s">
        <v>69</v>
      </c>
      <c r="C32" t="s">
        <v>67</v>
      </c>
      <c r="D32" t="s">
        <v>68</v>
      </c>
      <c r="E32" t="s">
        <v>68</v>
      </c>
      <c r="F32" t="s">
        <v>68</v>
      </c>
      <c r="G32" t="s">
        <v>68</v>
      </c>
      <c r="H32" t="s">
        <v>68</v>
      </c>
      <c r="I32" t="s">
        <v>68</v>
      </c>
      <c r="J32" t="s">
        <v>68</v>
      </c>
    </row>
    <row r="33" spans="1:11">
      <c r="A33" s="1" t="s">
        <v>42</v>
      </c>
      <c r="B33" t="s">
        <v>71</v>
      </c>
      <c r="C33" t="s">
        <v>67</v>
      </c>
      <c r="F33" t="s">
        <v>112</v>
      </c>
      <c r="G33" t="s">
        <v>76</v>
      </c>
      <c r="H33" t="s">
        <v>115</v>
      </c>
      <c r="J33" t="s">
        <v>115</v>
      </c>
    </row>
    <row r="34" spans="1:11">
      <c r="A34" s="1" t="s">
        <v>43</v>
      </c>
      <c r="B34" t="s">
        <v>71</v>
      </c>
      <c r="C34" t="s">
        <v>67</v>
      </c>
      <c r="D34" t="s">
        <v>114</v>
      </c>
      <c r="H34" s="3" t="s">
        <v>77</v>
      </c>
      <c r="I34" t="s">
        <v>116</v>
      </c>
      <c r="J34" t="s">
        <v>117</v>
      </c>
    </row>
    <row r="35" spans="1:11">
      <c r="A35" s="1" t="s">
        <v>44</v>
      </c>
      <c r="B35" t="s">
        <v>65</v>
      </c>
      <c r="C35" t="s">
        <v>67</v>
      </c>
      <c r="E35" t="s">
        <v>100</v>
      </c>
      <c r="G35" t="s">
        <v>104</v>
      </c>
      <c r="I35" t="s">
        <v>102</v>
      </c>
      <c r="J35" t="s">
        <v>62</v>
      </c>
    </row>
    <row r="36" spans="1:11">
      <c r="A36" s="1" t="s">
        <v>45</v>
      </c>
      <c r="B36" t="s">
        <v>71</v>
      </c>
      <c r="C36" t="s">
        <v>67</v>
      </c>
      <c r="D36" t="s">
        <v>113</v>
      </c>
      <c r="G36" s="3" t="s">
        <v>77</v>
      </c>
      <c r="I36" s="3" t="s">
        <v>77</v>
      </c>
    </row>
    <row r="37" spans="1:11">
      <c r="A37" s="1" t="s">
        <v>46</v>
      </c>
      <c r="B37" t="s">
        <v>108</v>
      </c>
      <c r="C37" t="s">
        <v>67</v>
      </c>
      <c r="D37" t="s">
        <v>76</v>
      </c>
      <c r="H37" t="s">
        <v>116</v>
      </c>
      <c r="I37" t="s">
        <v>115</v>
      </c>
      <c r="J37" t="s">
        <v>113</v>
      </c>
    </row>
    <row r="38" spans="1:11">
      <c r="A38" s="1" t="s">
        <v>47</v>
      </c>
      <c r="B38" t="s">
        <v>108</v>
      </c>
      <c r="C38" t="s">
        <v>67</v>
      </c>
      <c r="F38" s="3"/>
      <c r="G38" t="s">
        <v>115</v>
      </c>
      <c r="H38" s="3"/>
      <c r="J38" t="s">
        <v>116</v>
      </c>
      <c r="K38" s="3"/>
    </row>
    <row r="39" spans="1:11">
      <c r="A39" s="1" t="s">
        <v>48</v>
      </c>
      <c r="B39" t="s">
        <v>108</v>
      </c>
      <c r="C39" t="s">
        <v>67</v>
      </c>
      <c r="E39" t="s">
        <v>72</v>
      </c>
      <c r="F39" t="s">
        <v>72</v>
      </c>
      <c r="G39" t="s">
        <v>72</v>
      </c>
      <c r="H39" t="s">
        <v>72</v>
      </c>
    </row>
    <row r="40" spans="1:11">
      <c r="A40" s="1" t="s">
        <v>49</v>
      </c>
      <c r="B40" t="s">
        <v>108</v>
      </c>
      <c r="C40" t="s">
        <v>67</v>
      </c>
      <c r="F40" t="s">
        <v>116</v>
      </c>
    </row>
    <row r="41" spans="1:11">
      <c r="A41" s="1" t="s">
        <v>50</v>
      </c>
      <c r="B41" t="s">
        <v>108</v>
      </c>
      <c r="C41" t="s">
        <v>67</v>
      </c>
      <c r="E41" t="s">
        <v>76</v>
      </c>
      <c r="F41" t="s">
        <v>117</v>
      </c>
      <c r="G41" t="s">
        <v>117</v>
      </c>
      <c r="I41" s="3"/>
    </row>
    <row r="42" spans="1:11">
      <c r="A42" s="1" t="s">
        <v>51</v>
      </c>
      <c r="B42" t="s">
        <v>108</v>
      </c>
      <c r="C42" t="s">
        <v>67</v>
      </c>
      <c r="E42" t="s">
        <v>116</v>
      </c>
      <c r="F42" t="s">
        <v>76</v>
      </c>
      <c r="G42" t="s">
        <v>113</v>
      </c>
      <c r="J42" t="s">
        <v>76</v>
      </c>
    </row>
    <row r="43" spans="1:11">
      <c r="A43" s="1" t="s">
        <v>52</v>
      </c>
      <c r="B43" t="s">
        <v>65</v>
      </c>
      <c r="C43" t="s">
        <v>67</v>
      </c>
      <c r="F43" t="s">
        <v>102</v>
      </c>
      <c r="G43" t="s">
        <v>98</v>
      </c>
      <c r="H43" t="s">
        <v>102</v>
      </c>
      <c r="I43" t="s">
        <v>98</v>
      </c>
    </row>
    <row r="44" spans="1:11">
      <c r="A44" s="1" t="s">
        <v>53</v>
      </c>
      <c r="B44" t="s">
        <v>71</v>
      </c>
      <c r="C44" t="s">
        <v>67</v>
      </c>
      <c r="D44" t="s">
        <v>72</v>
      </c>
      <c r="E44" t="s">
        <v>72</v>
      </c>
      <c r="F44" t="s">
        <v>72</v>
      </c>
      <c r="G44" t="s">
        <v>72</v>
      </c>
      <c r="H44" t="s">
        <v>72</v>
      </c>
      <c r="I44" t="s">
        <v>72</v>
      </c>
      <c r="J44" t="s">
        <v>72</v>
      </c>
    </row>
    <row r="45" spans="1:11">
      <c r="A45" s="1" t="s">
        <v>54</v>
      </c>
      <c r="B45" t="s">
        <v>106</v>
      </c>
      <c r="C45" t="s">
        <v>67</v>
      </c>
      <c r="E45" t="s">
        <v>117</v>
      </c>
      <c r="F45" t="s">
        <v>104</v>
      </c>
      <c r="I45" t="s">
        <v>104</v>
      </c>
      <c r="J45" t="s">
        <v>88</v>
      </c>
    </row>
    <row r="46" spans="1:11">
      <c r="A46" s="1" t="s">
        <v>55</v>
      </c>
      <c r="B46" t="s">
        <v>106</v>
      </c>
      <c r="C46" t="s">
        <v>67</v>
      </c>
      <c r="D46" t="s">
        <v>100</v>
      </c>
      <c r="E46" t="s">
        <v>102</v>
      </c>
      <c r="F46" t="s">
        <v>98</v>
      </c>
      <c r="G46" t="s">
        <v>102</v>
      </c>
    </row>
    <row r="47" spans="1:11">
      <c r="A47" s="1" t="s">
        <v>56</v>
      </c>
      <c r="B47" t="s">
        <v>106</v>
      </c>
      <c r="C47" t="s">
        <v>67</v>
      </c>
      <c r="D47" t="s">
        <v>88</v>
      </c>
      <c r="E47" t="s">
        <v>98</v>
      </c>
      <c r="F47" t="s">
        <v>88</v>
      </c>
      <c r="G47" t="s">
        <v>88</v>
      </c>
    </row>
    <row r="48" spans="1:11">
      <c r="A48" s="1" t="s">
        <v>57</v>
      </c>
      <c r="B48" t="s">
        <v>109</v>
      </c>
      <c r="C48" t="s">
        <v>67</v>
      </c>
      <c r="D48" t="s">
        <v>117</v>
      </c>
      <c r="E48" t="s">
        <v>73</v>
      </c>
      <c r="H48" t="s">
        <v>73</v>
      </c>
      <c r="I48" t="s">
        <v>112</v>
      </c>
    </row>
    <row r="49" spans="1:13">
      <c r="A49" s="1" t="s">
        <v>58</v>
      </c>
      <c r="B49" t="s">
        <v>109</v>
      </c>
      <c r="C49" t="s">
        <v>67</v>
      </c>
      <c r="E49" t="s">
        <v>113</v>
      </c>
      <c r="H49" t="s">
        <v>112</v>
      </c>
    </row>
    <row r="50" spans="1:13">
      <c r="A50" s="1" t="s">
        <v>63</v>
      </c>
      <c r="B50" t="s">
        <v>71</v>
      </c>
      <c r="C50" t="s">
        <v>67</v>
      </c>
      <c r="I50" t="s">
        <v>76</v>
      </c>
      <c r="J50" t="s">
        <v>114</v>
      </c>
    </row>
    <row r="51" spans="1:13" ht="18" customHeight="1">
      <c r="A51" s="1" t="s">
        <v>64</v>
      </c>
      <c r="B51" t="s">
        <v>106</v>
      </c>
      <c r="C51" t="s">
        <v>67</v>
      </c>
      <c r="E51" t="s">
        <v>88</v>
      </c>
      <c r="H51" t="s">
        <v>100</v>
      </c>
      <c r="I51" t="s">
        <v>88</v>
      </c>
      <c r="J51" t="s">
        <v>98</v>
      </c>
    </row>
    <row r="53" spans="1:13" ht="18" customHeight="1"/>
    <row r="54" spans="1:13">
      <c r="A54" t="s">
        <v>65</v>
      </c>
      <c r="B54">
        <f>COUNTIF(B$2:B$51,A54)</f>
        <v>10</v>
      </c>
      <c r="C54" t="s">
        <v>79</v>
      </c>
      <c r="D54">
        <f>COUNTIF(D2:D51,"VTC")</f>
        <v>2</v>
      </c>
      <c r="E54">
        <f t="shared" ref="E54:J54" si="0">COUNTIF(E2:E51,"VTC")</f>
        <v>2</v>
      </c>
      <c r="F54">
        <f t="shared" si="0"/>
        <v>2</v>
      </c>
      <c r="G54">
        <f t="shared" si="0"/>
        <v>2</v>
      </c>
      <c r="H54">
        <f t="shared" si="0"/>
        <v>2</v>
      </c>
      <c r="I54">
        <f t="shared" si="0"/>
        <v>2</v>
      </c>
      <c r="J54">
        <f t="shared" si="0"/>
        <v>2</v>
      </c>
    </row>
    <row r="55" spans="1:13">
      <c r="A55" t="s">
        <v>106</v>
      </c>
      <c r="B55">
        <f t="shared" ref="B55:B60" si="1">COUNTIF(B$2:B$51,A55)</f>
        <v>8</v>
      </c>
      <c r="C55" t="s">
        <v>78</v>
      </c>
      <c r="D55">
        <f>COUNTIF(D2:D51,"AMP")</f>
        <v>1</v>
      </c>
      <c r="E55">
        <f t="shared" ref="E55:I55" si="2">COUNTIF(E2:E51,"AMP")</f>
        <v>1</v>
      </c>
      <c r="F55">
        <f t="shared" si="2"/>
        <v>1</v>
      </c>
      <c r="G55">
        <f t="shared" si="2"/>
        <v>1</v>
      </c>
      <c r="H55">
        <f t="shared" si="2"/>
        <v>1</v>
      </c>
      <c r="I55">
        <f t="shared" si="2"/>
        <v>1</v>
      </c>
      <c r="J55">
        <f>COUNTIF(J2:J51,"AMP")</f>
        <v>1</v>
      </c>
    </row>
    <row r="56" spans="1:13">
      <c r="A56" t="s">
        <v>107</v>
      </c>
      <c r="B56">
        <f t="shared" si="1"/>
        <v>15</v>
      </c>
    </row>
    <row r="57" spans="1:13">
      <c r="A57" t="s">
        <v>108</v>
      </c>
      <c r="B57">
        <f t="shared" si="1"/>
        <v>10</v>
      </c>
      <c r="C57" t="s">
        <v>87</v>
      </c>
      <c r="D57">
        <f>COUNTIF(D$2:D$51, $C57)</f>
        <v>1</v>
      </c>
      <c r="E57">
        <f t="shared" ref="E57:J57" si="3">COUNTIF(E$2:E$51, $C57)</f>
        <v>1</v>
      </c>
      <c r="F57">
        <f t="shared" si="3"/>
        <v>1</v>
      </c>
      <c r="G57">
        <f t="shared" si="3"/>
        <v>1</v>
      </c>
      <c r="H57">
        <f t="shared" si="3"/>
        <v>1</v>
      </c>
      <c r="I57">
        <f t="shared" si="3"/>
        <v>1</v>
      </c>
      <c r="J57">
        <f t="shared" si="3"/>
        <v>1</v>
      </c>
    </row>
    <row r="58" spans="1:13">
      <c r="A58" t="s">
        <v>109</v>
      </c>
      <c r="B58">
        <f t="shared" si="1"/>
        <v>4</v>
      </c>
      <c r="C58" t="s">
        <v>91</v>
      </c>
      <c r="D58">
        <f t="shared" ref="D58:J74" si="4">COUNTIF(D$2:D$51, $C58)</f>
        <v>1</v>
      </c>
      <c r="E58">
        <f t="shared" si="4"/>
        <v>1</v>
      </c>
      <c r="F58">
        <f t="shared" si="4"/>
        <v>1</v>
      </c>
      <c r="G58">
        <f t="shared" si="4"/>
        <v>1</v>
      </c>
      <c r="H58">
        <f t="shared" si="4"/>
        <v>1</v>
      </c>
      <c r="I58">
        <f t="shared" si="4"/>
        <v>1</v>
      </c>
      <c r="J58">
        <f t="shared" si="4"/>
        <v>1</v>
      </c>
    </row>
    <row r="59" spans="1:13">
      <c r="A59" t="s">
        <v>110</v>
      </c>
      <c r="B59">
        <f t="shared" si="1"/>
        <v>3</v>
      </c>
      <c r="C59" t="s">
        <v>93</v>
      </c>
      <c r="D59">
        <f t="shared" si="4"/>
        <v>1</v>
      </c>
      <c r="E59">
        <f t="shared" si="4"/>
        <v>1</v>
      </c>
      <c r="F59">
        <f t="shared" si="4"/>
        <v>1</v>
      </c>
      <c r="G59">
        <f t="shared" si="4"/>
        <v>1</v>
      </c>
      <c r="H59">
        <f t="shared" si="4"/>
        <v>1</v>
      </c>
      <c r="I59">
        <f t="shared" si="4"/>
        <v>1</v>
      </c>
      <c r="J59">
        <f t="shared" si="4"/>
        <v>1</v>
      </c>
    </row>
    <row r="60" spans="1:13">
      <c r="A60" t="s">
        <v>111</v>
      </c>
      <c r="B60">
        <f>SUM(B54:B59)</f>
        <v>50</v>
      </c>
      <c r="C60" t="s">
        <v>95</v>
      </c>
      <c r="D60">
        <f t="shared" si="4"/>
        <v>1</v>
      </c>
      <c r="E60">
        <f t="shared" si="4"/>
        <v>1</v>
      </c>
      <c r="F60">
        <f t="shared" si="4"/>
        <v>1</v>
      </c>
      <c r="G60">
        <f t="shared" si="4"/>
        <v>1</v>
      </c>
      <c r="H60">
        <f t="shared" si="4"/>
        <v>1</v>
      </c>
      <c r="I60">
        <f t="shared" si="4"/>
        <v>1</v>
      </c>
      <c r="J60">
        <f t="shared" si="4"/>
        <v>1</v>
      </c>
    </row>
    <row r="61" spans="1:13">
      <c r="C61" t="s">
        <v>97</v>
      </c>
      <c r="D61">
        <f t="shared" si="4"/>
        <v>1</v>
      </c>
      <c r="E61">
        <f t="shared" si="4"/>
        <v>1</v>
      </c>
      <c r="F61">
        <f t="shared" si="4"/>
        <v>1</v>
      </c>
      <c r="G61">
        <f t="shared" si="4"/>
        <v>1</v>
      </c>
      <c r="H61">
        <f t="shared" si="4"/>
        <v>1</v>
      </c>
      <c r="I61">
        <f t="shared" si="4"/>
        <v>1</v>
      </c>
      <c r="J61">
        <f t="shared" si="4"/>
        <v>1</v>
      </c>
    </row>
    <row r="63" spans="1:13">
      <c r="C63" t="s">
        <v>89</v>
      </c>
      <c r="D63">
        <f t="shared" si="4"/>
        <v>1</v>
      </c>
      <c r="E63">
        <f t="shared" si="4"/>
        <v>1</v>
      </c>
      <c r="F63">
        <f t="shared" si="4"/>
        <v>1</v>
      </c>
      <c r="G63">
        <f t="shared" si="4"/>
        <v>1</v>
      </c>
      <c r="H63">
        <f t="shared" si="4"/>
        <v>1</v>
      </c>
      <c r="I63">
        <f t="shared" si="4"/>
        <v>1</v>
      </c>
      <c r="J63">
        <f t="shared" si="4"/>
        <v>1</v>
      </c>
      <c r="M63" s="2"/>
    </row>
    <row r="64" spans="1:13">
      <c r="C64" t="s">
        <v>99</v>
      </c>
      <c r="D64">
        <f t="shared" si="4"/>
        <v>1</v>
      </c>
      <c r="E64">
        <f t="shared" si="4"/>
        <v>1</v>
      </c>
      <c r="F64">
        <f t="shared" si="4"/>
        <v>1</v>
      </c>
      <c r="G64">
        <f t="shared" si="4"/>
        <v>1</v>
      </c>
      <c r="H64">
        <f t="shared" si="4"/>
        <v>1</v>
      </c>
      <c r="I64">
        <f t="shared" si="4"/>
        <v>1</v>
      </c>
      <c r="J64">
        <f t="shared" si="4"/>
        <v>1</v>
      </c>
      <c r="M64" s="2"/>
    </row>
    <row r="65" spans="3:16">
      <c r="C65" t="s">
        <v>101</v>
      </c>
      <c r="D65">
        <f t="shared" si="4"/>
        <v>1</v>
      </c>
      <c r="E65">
        <f t="shared" si="4"/>
        <v>1</v>
      </c>
      <c r="F65">
        <f t="shared" si="4"/>
        <v>1</v>
      </c>
      <c r="G65">
        <f t="shared" si="4"/>
        <v>1</v>
      </c>
      <c r="H65">
        <f t="shared" si="4"/>
        <v>1</v>
      </c>
      <c r="I65">
        <f t="shared" si="4"/>
        <v>1</v>
      </c>
      <c r="J65">
        <f t="shared" si="4"/>
        <v>1</v>
      </c>
      <c r="M65" s="2"/>
    </row>
    <row r="66" spans="3:16">
      <c r="C66" t="s">
        <v>103</v>
      </c>
      <c r="D66">
        <f t="shared" si="4"/>
        <v>1</v>
      </c>
      <c r="E66">
        <f t="shared" si="4"/>
        <v>1</v>
      </c>
      <c r="F66">
        <f t="shared" si="4"/>
        <v>1</v>
      </c>
      <c r="G66">
        <f t="shared" si="4"/>
        <v>1</v>
      </c>
      <c r="H66">
        <f t="shared" si="4"/>
        <v>1</v>
      </c>
      <c r="I66">
        <f t="shared" si="4"/>
        <v>1</v>
      </c>
      <c r="J66">
        <f t="shared" si="4"/>
        <v>1</v>
      </c>
      <c r="M66" s="2"/>
    </row>
    <row r="67" spans="3:16">
      <c r="C67" t="s">
        <v>105</v>
      </c>
      <c r="D67">
        <f t="shared" si="4"/>
        <v>1</v>
      </c>
      <c r="E67">
        <f t="shared" si="4"/>
        <v>1</v>
      </c>
      <c r="F67">
        <f t="shared" si="4"/>
        <v>1</v>
      </c>
      <c r="G67">
        <f t="shared" si="4"/>
        <v>1</v>
      </c>
      <c r="H67">
        <f t="shared" si="4"/>
        <v>1</v>
      </c>
      <c r="I67">
        <f t="shared" si="4"/>
        <v>1</v>
      </c>
      <c r="J67">
        <f t="shared" si="4"/>
        <v>1</v>
      </c>
      <c r="M67" s="2"/>
    </row>
    <row r="68" spans="3:16">
      <c r="M68" s="2"/>
    </row>
    <row r="69" spans="3:16">
      <c r="C69" t="s">
        <v>80</v>
      </c>
      <c r="D69">
        <f t="shared" si="4"/>
        <v>1</v>
      </c>
      <c r="E69">
        <f t="shared" si="4"/>
        <v>1</v>
      </c>
      <c r="F69">
        <f t="shared" si="4"/>
        <v>1</v>
      </c>
      <c r="G69">
        <f t="shared" si="4"/>
        <v>1</v>
      </c>
      <c r="H69">
        <f t="shared" si="4"/>
        <v>1</v>
      </c>
      <c r="I69">
        <f t="shared" si="4"/>
        <v>1</v>
      </c>
      <c r="J69">
        <f>COUNTIF(J$2:J$51, $C69)</f>
        <v>1</v>
      </c>
      <c r="M69" s="2"/>
    </row>
    <row r="70" spans="3:16">
      <c r="C70" t="s">
        <v>81</v>
      </c>
      <c r="D70">
        <f t="shared" si="4"/>
        <v>1</v>
      </c>
      <c r="E70">
        <f t="shared" si="4"/>
        <v>1</v>
      </c>
      <c r="F70">
        <f t="shared" si="4"/>
        <v>1</v>
      </c>
      <c r="G70">
        <f t="shared" si="4"/>
        <v>1</v>
      </c>
      <c r="H70">
        <f t="shared" si="4"/>
        <v>1</v>
      </c>
      <c r="I70">
        <f t="shared" si="4"/>
        <v>1</v>
      </c>
      <c r="J70">
        <f t="shared" si="4"/>
        <v>1</v>
      </c>
      <c r="M70" s="2"/>
    </row>
    <row r="71" spans="3:16">
      <c r="C71" t="s">
        <v>82</v>
      </c>
      <c r="D71">
        <f t="shared" si="4"/>
        <v>1</v>
      </c>
      <c r="E71">
        <f t="shared" si="4"/>
        <v>1</v>
      </c>
      <c r="F71">
        <f t="shared" si="4"/>
        <v>1</v>
      </c>
      <c r="G71">
        <f t="shared" si="4"/>
        <v>1</v>
      </c>
      <c r="H71">
        <f t="shared" si="4"/>
        <v>1</v>
      </c>
      <c r="I71">
        <f t="shared" si="4"/>
        <v>1</v>
      </c>
      <c r="J71">
        <f t="shared" si="4"/>
        <v>1</v>
      </c>
      <c r="M71" s="2"/>
      <c r="N71" s="2"/>
      <c r="O71" s="2"/>
      <c r="P71" s="2"/>
    </row>
    <row r="72" spans="3:16">
      <c r="C72" t="s">
        <v>83</v>
      </c>
      <c r="D72">
        <f t="shared" si="4"/>
        <v>1</v>
      </c>
      <c r="E72">
        <f t="shared" si="4"/>
        <v>1</v>
      </c>
      <c r="F72">
        <f t="shared" si="4"/>
        <v>1</v>
      </c>
      <c r="G72">
        <f t="shared" si="4"/>
        <v>1</v>
      </c>
      <c r="H72">
        <f t="shared" si="4"/>
        <v>1</v>
      </c>
      <c r="I72">
        <f t="shared" si="4"/>
        <v>1</v>
      </c>
      <c r="J72">
        <f t="shared" si="4"/>
        <v>1</v>
      </c>
      <c r="M72" s="2"/>
      <c r="N72" s="2"/>
      <c r="O72" s="2"/>
      <c r="P72" s="2"/>
    </row>
    <row r="73" spans="3:16">
      <c r="C73" t="s">
        <v>84</v>
      </c>
      <c r="D73">
        <f t="shared" si="4"/>
        <v>1</v>
      </c>
      <c r="E73">
        <f t="shared" si="4"/>
        <v>1</v>
      </c>
      <c r="F73">
        <f t="shared" si="4"/>
        <v>1</v>
      </c>
      <c r="G73">
        <f t="shared" si="4"/>
        <v>1</v>
      </c>
      <c r="H73">
        <f t="shared" si="4"/>
        <v>1</v>
      </c>
      <c r="I73">
        <f t="shared" si="4"/>
        <v>1</v>
      </c>
      <c r="J73">
        <f t="shared" si="4"/>
        <v>1</v>
      </c>
      <c r="M73" s="2"/>
      <c r="N73" s="2"/>
      <c r="O73" s="2"/>
      <c r="P73" s="2"/>
    </row>
    <row r="74" spans="3:16">
      <c r="C74" t="s">
        <v>85</v>
      </c>
      <c r="D74">
        <f t="shared" si="4"/>
        <v>1</v>
      </c>
      <c r="E74">
        <f t="shared" si="4"/>
        <v>1</v>
      </c>
      <c r="F74">
        <f t="shared" si="4"/>
        <v>1</v>
      </c>
      <c r="G74">
        <f t="shared" si="4"/>
        <v>1</v>
      </c>
      <c r="H74">
        <f t="shared" si="4"/>
        <v>1</v>
      </c>
      <c r="I74">
        <f t="shared" si="4"/>
        <v>1</v>
      </c>
      <c r="J74">
        <f t="shared" si="4"/>
        <v>1</v>
      </c>
      <c r="M74" s="2"/>
      <c r="N74" s="2"/>
      <c r="O74" s="2"/>
      <c r="P74" s="2"/>
    </row>
    <row r="75" spans="3:16">
      <c r="M75" s="2"/>
      <c r="N75" s="2"/>
      <c r="O75" s="2"/>
      <c r="P75" s="2"/>
    </row>
    <row r="76" spans="3:16">
      <c r="M76" s="2"/>
      <c r="N76" s="2"/>
      <c r="O76" s="2"/>
      <c r="P76" s="2"/>
    </row>
    <row r="77" spans="3:16">
      <c r="M77" s="2"/>
      <c r="N77" s="2"/>
      <c r="O77" s="2"/>
      <c r="P77" s="2"/>
    </row>
    <row r="78" spans="3:16">
      <c r="M78" s="2"/>
      <c r="N78" s="2"/>
      <c r="O78" s="2"/>
      <c r="P78" s="2"/>
    </row>
    <row r="79" spans="3:16">
      <c r="M79" s="2"/>
      <c r="N79" s="2"/>
      <c r="O79" s="2"/>
      <c r="P79" s="2"/>
    </row>
    <row r="80" spans="3:16">
      <c r="M80" s="2"/>
      <c r="N80" s="2"/>
      <c r="O80" s="2"/>
      <c r="P80" s="2"/>
    </row>
    <row r="81" spans="13:16">
      <c r="M81" s="2"/>
      <c r="N81" s="2"/>
      <c r="O81" s="2"/>
      <c r="P81" s="2"/>
    </row>
    <row r="82" spans="13:16">
      <c r="M82" s="2"/>
      <c r="N82" s="2"/>
      <c r="O82" s="2"/>
      <c r="P82" s="2"/>
    </row>
    <row r="83" spans="13:16">
      <c r="M83" s="2"/>
      <c r="N83" s="2"/>
      <c r="O83" s="2"/>
      <c r="P83" s="2"/>
    </row>
    <row r="84" spans="13:16">
      <c r="M84" s="2"/>
      <c r="N84" s="2"/>
      <c r="O84" s="2"/>
      <c r="P84" s="2"/>
    </row>
    <row r="85" spans="13:16">
      <c r="M85" s="2"/>
      <c r="N85" s="2"/>
      <c r="O85" s="2"/>
      <c r="P85" s="2"/>
    </row>
    <row r="86" spans="13:16">
      <c r="M86" s="2"/>
      <c r="N86" s="2"/>
      <c r="O86" s="2"/>
      <c r="P86" s="2"/>
    </row>
    <row r="87" spans="13:16">
      <c r="M87" s="2"/>
      <c r="N87" s="2"/>
      <c r="O87" s="2"/>
      <c r="P87" s="2"/>
    </row>
    <row r="88" spans="13:16">
      <c r="M88" s="2"/>
      <c r="N88" s="2"/>
      <c r="O88" s="2"/>
      <c r="P88" s="2"/>
    </row>
    <row r="89" spans="13:16">
      <c r="M89" s="2"/>
      <c r="N89" s="2"/>
      <c r="O89" s="2"/>
      <c r="P89" s="2"/>
    </row>
    <row r="90" spans="13:16">
      <c r="M90" s="2"/>
      <c r="N90" s="2"/>
      <c r="O90" s="2"/>
      <c r="P90" s="2"/>
    </row>
    <row r="91" spans="13:16">
      <c r="M91" s="2"/>
      <c r="N91" s="2"/>
      <c r="O91" s="2"/>
      <c r="P91" s="2"/>
    </row>
    <row r="92" spans="13:16">
      <c r="M92" s="2"/>
      <c r="N92" s="2"/>
      <c r="O92" s="2"/>
      <c r="P92" s="2"/>
    </row>
    <row r="93" spans="13:16">
      <c r="M93" s="2"/>
      <c r="N93" s="2"/>
      <c r="O93" s="2"/>
      <c r="P93" s="2"/>
    </row>
    <row r="94" spans="13:16">
      <c r="M94" s="2"/>
      <c r="N94" s="2"/>
      <c r="O94" s="2"/>
      <c r="P94" s="2"/>
    </row>
    <row r="95" spans="13:16">
      <c r="M95" s="2"/>
      <c r="N95" s="2"/>
      <c r="O95" s="2"/>
      <c r="P95" s="2"/>
    </row>
    <row r="96" spans="13:16">
      <c r="M96" s="2"/>
      <c r="N96" s="2"/>
      <c r="O96" s="2"/>
      <c r="P96" s="2"/>
    </row>
    <row r="97" spans="13:16">
      <c r="M97" s="2"/>
      <c r="N97" s="2"/>
      <c r="O97" s="2"/>
      <c r="P97" s="2"/>
    </row>
    <row r="98" spans="13:16">
      <c r="M98" s="2"/>
      <c r="N98" s="2"/>
      <c r="O98" s="2"/>
      <c r="P98" s="2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시트2"/>
  <dimension ref="A1:K51"/>
  <sheetViews>
    <sheetView workbookViewId="0">
      <selection activeCell="C25" sqref="C25"/>
    </sheetView>
  </sheetViews>
  <sheetFormatPr baseColWidth="10" defaultRowHeight="18"/>
  <sheetData>
    <row r="1" spans="1:11">
      <c r="A1" s="1" t="s">
        <v>0</v>
      </c>
      <c r="B1" t="s">
        <v>1</v>
      </c>
      <c r="C1" t="s">
        <v>2</v>
      </c>
      <c r="D1" t="s">
        <v>10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</row>
    <row r="2" spans="1:11">
      <c r="A2" s="1" t="s">
        <v>11</v>
      </c>
      <c r="B2" t="s">
        <v>65</v>
      </c>
      <c r="D2" t="s">
        <v>66</v>
      </c>
    </row>
    <row r="3" spans="1:11">
      <c r="A3" s="1" t="s">
        <v>12</v>
      </c>
      <c r="B3" t="s">
        <v>59</v>
      </c>
      <c r="D3" t="s">
        <v>66</v>
      </c>
      <c r="E3" t="s">
        <v>72</v>
      </c>
      <c r="F3" t="s">
        <v>72</v>
      </c>
      <c r="G3" t="s">
        <v>72</v>
      </c>
      <c r="H3" t="s">
        <v>72</v>
      </c>
      <c r="I3" t="s">
        <v>72</v>
      </c>
      <c r="J3" t="s">
        <v>72</v>
      </c>
      <c r="K3" t="s">
        <v>72</v>
      </c>
    </row>
    <row r="4" spans="1:11">
      <c r="A4" s="1" t="s">
        <v>13</v>
      </c>
      <c r="B4" t="s">
        <v>71</v>
      </c>
      <c r="D4" t="s">
        <v>66</v>
      </c>
      <c r="E4" t="s">
        <v>76</v>
      </c>
    </row>
    <row r="5" spans="1:11">
      <c r="A5" s="1" t="s">
        <v>14</v>
      </c>
      <c r="B5" t="s">
        <v>69</v>
      </c>
      <c r="D5" t="s">
        <v>66</v>
      </c>
    </row>
    <row r="6" spans="1:11">
      <c r="A6" s="1" t="s">
        <v>15</v>
      </c>
      <c r="B6" t="s">
        <v>65</v>
      </c>
      <c r="D6" t="s">
        <v>66</v>
      </c>
      <c r="J6" t="s">
        <v>62</v>
      </c>
    </row>
    <row r="7" spans="1:11">
      <c r="A7" s="1" t="s">
        <v>16</v>
      </c>
      <c r="B7" t="s">
        <v>71</v>
      </c>
      <c r="D7" t="s">
        <v>66</v>
      </c>
      <c r="F7" t="s">
        <v>76</v>
      </c>
      <c r="H7" t="s">
        <v>76</v>
      </c>
    </row>
    <row r="8" spans="1:11">
      <c r="A8" s="1" t="s">
        <v>17</v>
      </c>
      <c r="B8" t="s">
        <v>71</v>
      </c>
      <c r="D8" t="s">
        <v>66</v>
      </c>
      <c r="E8" t="s">
        <v>72</v>
      </c>
      <c r="F8" t="s">
        <v>72</v>
      </c>
      <c r="G8" t="s">
        <v>72</v>
      </c>
      <c r="H8" t="s">
        <v>72</v>
      </c>
      <c r="I8" t="s">
        <v>72</v>
      </c>
      <c r="J8" t="s">
        <v>72</v>
      </c>
      <c r="K8" t="s">
        <v>72</v>
      </c>
    </row>
    <row r="9" spans="1:11">
      <c r="A9" s="1" t="s">
        <v>18</v>
      </c>
      <c r="B9" t="s">
        <v>65</v>
      </c>
      <c r="D9" t="s">
        <v>66</v>
      </c>
    </row>
    <row r="10" spans="1:11">
      <c r="A10" s="1" t="s">
        <v>19</v>
      </c>
      <c r="B10" t="s">
        <v>60</v>
      </c>
      <c r="D10" t="s">
        <v>66</v>
      </c>
      <c r="E10" t="s">
        <v>73</v>
      </c>
      <c r="H10" t="s">
        <v>75</v>
      </c>
      <c r="K10" t="s">
        <v>62</v>
      </c>
    </row>
    <row r="11" spans="1:11">
      <c r="A11" s="1" t="s">
        <v>20</v>
      </c>
      <c r="B11" t="s">
        <v>70</v>
      </c>
      <c r="D11" t="s">
        <v>66</v>
      </c>
    </row>
    <row r="12" spans="1:11">
      <c r="A12" s="1" t="s">
        <v>21</v>
      </c>
      <c r="B12" t="s">
        <v>65</v>
      </c>
      <c r="D12" t="s">
        <v>66</v>
      </c>
      <c r="E12" t="s">
        <v>68</v>
      </c>
      <c r="F12" t="s">
        <v>68</v>
      </c>
      <c r="G12" t="s">
        <v>68</v>
      </c>
      <c r="H12" t="s">
        <v>68</v>
      </c>
      <c r="I12" t="s">
        <v>68</v>
      </c>
      <c r="J12" t="s">
        <v>68</v>
      </c>
      <c r="K12" t="s">
        <v>68</v>
      </c>
    </row>
    <row r="13" spans="1:11">
      <c r="A13" s="1" t="s">
        <v>22</v>
      </c>
      <c r="B13" t="s">
        <v>70</v>
      </c>
      <c r="D13" t="s">
        <v>66</v>
      </c>
      <c r="E13" t="s">
        <v>78</v>
      </c>
      <c r="G13" t="s">
        <v>78</v>
      </c>
    </row>
    <row r="14" spans="1:11">
      <c r="A14" s="1" t="s">
        <v>23</v>
      </c>
      <c r="B14" t="s">
        <v>59</v>
      </c>
      <c r="D14" t="s">
        <v>66</v>
      </c>
    </row>
    <row r="15" spans="1:11">
      <c r="A15" s="1" t="s">
        <v>24</v>
      </c>
      <c r="B15" t="s">
        <v>70</v>
      </c>
      <c r="D15" t="s">
        <v>66</v>
      </c>
      <c r="G15" t="s">
        <v>76</v>
      </c>
      <c r="J15" t="s">
        <v>61</v>
      </c>
    </row>
    <row r="16" spans="1:11">
      <c r="A16" s="1" t="s">
        <v>25</v>
      </c>
      <c r="B16" t="s">
        <v>65</v>
      </c>
      <c r="D16" t="s">
        <v>66</v>
      </c>
      <c r="J16" t="s">
        <v>62</v>
      </c>
    </row>
    <row r="17" spans="1:11">
      <c r="A17" s="1" t="s">
        <v>26</v>
      </c>
      <c r="B17" t="s">
        <v>70</v>
      </c>
      <c r="D17" t="s">
        <v>66</v>
      </c>
      <c r="H17" t="s">
        <v>76</v>
      </c>
    </row>
    <row r="18" spans="1:11">
      <c r="A18" s="1" t="s">
        <v>27</v>
      </c>
      <c r="B18" t="s">
        <v>59</v>
      </c>
      <c r="D18" t="s">
        <v>66</v>
      </c>
    </row>
    <row r="19" spans="1:11">
      <c r="A19" s="1" t="s">
        <v>28</v>
      </c>
      <c r="B19" t="s">
        <v>71</v>
      </c>
      <c r="D19" t="s">
        <v>66</v>
      </c>
      <c r="I19" t="s">
        <v>76</v>
      </c>
    </row>
    <row r="20" spans="1:11">
      <c r="A20" s="1" t="s">
        <v>29</v>
      </c>
      <c r="B20" t="s">
        <v>71</v>
      </c>
      <c r="D20" t="s">
        <v>66</v>
      </c>
      <c r="E20" t="s">
        <v>72</v>
      </c>
      <c r="F20" t="s">
        <v>72</v>
      </c>
      <c r="K20" t="s">
        <v>76</v>
      </c>
    </row>
    <row r="21" spans="1:11">
      <c r="A21" s="1" t="s">
        <v>30</v>
      </c>
      <c r="B21" t="s">
        <v>65</v>
      </c>
      <c r="D21" t="s">
        <v>66</v>
      </c>
    </row>
    <row r="22" spans="1:11">
      <c r="A22" s="1" t="s">
        <v>31</v>
      </c>
      <c r="B22" t="s">
        <v>59</v>
      </c>
      <c r="D22" t="s">
        <v>66</v>
      </c>
      <c r="J22" t="s">
        <v>61</v>
      </c>
    </row>
    <row r="23" spans="1:11">
      <c r="A23" s="1" t="s">
        <v>32</v>
      </c>
      <c r="B23" t="s">
        <v>71</v>
      </c>
      <c r="D23" t="s">
        <v>66</v>
      </c>
      <c r="F23" s="3" t="s">
        <v>77</v>
      </c>
    </row>
    <row r="24" spans="1:11">
      <c r="A24" s="1" t="s">
        <v>33</v>
      </c>
      <c r="B24" t="s">
        <v>71</v>
      </c>
      <c r="D24" t="s">
        <v>66</v>
      </c>
      <c r="J24" t="s">
        <v>76</v>
      </c>
    </row>
    <row r="25" spans="1:11">
      <c r="A25" s="1" t="s">
        <v>34</v>
      </c>
      <c r="B25" t="s">
        <v>60</v>
      </c>
      <c r="D25" t="s">
        <v>66</v>
      </c>
      <c r="J25" t="s">
        <v>74</v>
      </c>
    </row>
    <row r="26" spans="1:11">
      <c r="A26" s="1" t="s">
        <v>35</v>
      </c>
      <c r="B26" t="s">
        <v>65</v>
      </c>
      <c r="D26" t="s">
        <v>67</v>
      </c>
    </row>
    <row r="27" spans="1:11">
      <c r="A27" s="1" t="s">
        <v>36</v>
      </c>
      <c r="B27" t="s">
        <v>71</v>
      </c>
      <c r="D27" t="s">
        <v>67</v>
      </c>
      <c r="I27" t="s">
        <v>76</v>
      </c>
    </row>
    <row r="28" spans="1:11">
      <c r="A28" s="1" t="s">
        <v>37</v>
      </c>
      <c r="B28" t="s">
        <v>71</v>
      </c>
      <c r="D28" t="s">
        <v>67</v>
      </c>
      <c r="J28" t="s">
        <v>62</v>
      </c>
      <c r="K28" s="3" t="s">
        <v>77</v>
      </c>
    </row>
    <row r="29" spans="1:11">
      <c r="A29" s="1" t="s">
        <v>38</v>
      </c>
      <c r="B29" t="s">
        <v>65</v>
      </c>
      <c r="D29" t="s">
        <v>67</v>
      </c>
    </row>
    <row r="30" spans="1:11">
      <c r="A30" s="1" t="s">
        <v>39</v>
      </c>
      <c r="B30" t="s">
        <v>71</v>
      </c>
      <c r="D30" t="s">
        <v>67</v>
      </c>
      <c r="E30" t="s">
        <v>72</v>
      </c>
      <c r="F30" t="s">
        <v>72</v>
      </c>
      <c r="G30" t="s">
        <v>72</v>
      </c>
      <c r="H30" t="s">
        <v>72</v>
      </c>
      <c r="I30" t="s">
        <v>72</v>
      </c>
      <c r="J30" t="s">
        <v>72</v>
      </c>
      <c r="K30" t="s">
        <v>72</v>
      </c>
    </row>
    <row r="31" spans="1:11">
      <c r="A31" s="1" t="s">
        <v>40</v>
      </c>
      <c r="B31" t="s">
        <v>69</v>
      </c>
      <c r="D31" t="s">
        <v>67</v>
      </c>
    </row>
    <row r="32" spans="1:11">
      <c r="A32" s="1" t="s">
        <v>41</v>
      </c>
      <c r="B32" t="s">
        <v>69</v>
      </c>
      <c r="D32" t="s">
        <v>67</v>
      </c>
    </row>
    <row r="33" spans="1:11">
      <c r="A33" s="1" t="s">
        <v>42</v>
      </c>
      <c r="B33" t="s">
        <v>71</v>
      </c>
      <c r="D33" t="s">
        <v>67</v>
      </c>
      <c r="H33" t="s">
        <v>76</v>
      </c>
    </row>
    <row r="34" spans="1:11">
      <c r="A34" s="1" t="s">
        <v>43</v>
      </c>
      <c r="B34" t="s">
        <v>71</v>
      </c>
      <c r="D34" t="s">
        <v>67</v>
      </c>
      <c r="J34" t="s">
        <v>61</v>
      </c>
    </row>
    <row r="35" spans="1:11">
      <c r="A35" s="1" t="s">
        <v>44</v>
      </c>
      <c r="B35" t="s">
        <v>65</v>
      </c>
      <c r="D35" t="s">
        <v>67</v>
      </c>
      <c r="K35" t="s">
        <v>62</v>
      </c>
    </row>
    <row r="36" spans="1:11">
      <c r="A36" s="1" t="s">
        <v>45</v>
      </c>
      <c r="B36" t="s">
        <v>71</v>
      </c>
      <c r="D36" t="s">
        <v>67</v>
      </c>
      <c r="H36" s="3" t="s">
        <v>77</v>
      </c>
      <c r="J36" s="3" t="s">
        <v>77</v>
      </c>
    </row>
    <row r="37" spans="1:11">
      <c r="A37" s="1" t="s">
        <v>46</v>
      </c>
      <c r="B37" t="s">
        <v>70</v>
      </c>
      <c r="D37" t="s">
        <v>67</v>
      </c>
      <c r="E37" t="s">
        <v>76</v>
      </c>
    </row>
    <row r="38" spans="1:11">
      <c r="A38" s="1" t="s">
        <v>47</v>
      </c>
      <c r="B38" t="s">
        <v>70</v>
      </c>
      <c r="D38" t="s">
        <v>67</v>
      </c>
      <c r="G38" s="3"/>
      <c r="I38" s="3" t="s">
        <v>77</v>
      </c>
    </row>
    <row r="39" spans="1:11">
      <c r="A39" s="1" t="s">
        <v>48</v>
      </c>
      <c r="B39" t="s">
        <v>70</v>
      </c>
      <c r="D39" t="s">
        <v>67</v>
      </c>
      <c r="F39" t="s">
        <v>72</v>
      </c>
      <c r="G39" t="s">
        <v>72</v>
      </c>
      <c r="H39" t="s">
        <v>72</v>
      </c>
      <c r="I39" t="s">
        <v>72</v>
      </c>
      <c r="J39" t="s">
        <v>62</v>
      </c>
    </row>
    <row r="40" spans="1:11">
      <c r="A40" s="1" t="s">
        <v>49</v>
      </c>
      <c r="B40" t="s">
        <v>70</v>
      </c>
      <c r="D40" t="s">
        <v>67</v>
      </c>
    </row>
    <row r="41" spans="1:11">
      <c r="A41" s="1" t="s">
        <v>50</v>
      </c>
      <c r="B41" t="s">
        <v>70</v>
      </c>
      <c r="D41" t="s">
        <v>67</v>
      </c>
      <c r="F41" t="s">
        <v>76</v>
      </c>
      <c r="J41" s="3"/>
    </row>
    <row r="42" spans="1:11">
      <c r="A42" s="1" t="s">
        <v>51</v>
      </c>
      <c r="B42" t="s">
        <v>70</v>
      </c>
      <c r="D42" t="s">
        <v>67</v>
      </c>
      <c r="G42" t="s">
        <v>76</v>
      </c>
      <c r="K42" t="s">
        <v>76</v>
      </c>
    </row>
    <row r="43" spans="1:11">
      <c r="A43" s="1" t="s">
        <v>52</v>
      </c>
      <c r="B43" t="s">
        <v>65</v>
      </c>
      <c r="D43" t="s">
        <v>67</v>
      </c>
    </row>
    <row r="44" spans="1:11">
      <c r="A44" s="1" t="s">
        <v>53</v>
      </c>
      <c r="B44" t="s">
        <v>71</v>
      </c>
      <c r="D44" t="s">
        <v>67</v>
      </c>
      <c r="E44" t="s">
        <v>72</v>
      </c>
      <c r="F44" t="s">
        <v>72</v>
      </c>
      <c r="G44" t="s">
        <v>72</v>
      </c>
      <c r="H44" t="s">
        <v>72</v>
      </c>
      <c r="I44" t="s">
        <v>72</v>
      </c>
      <c r="J44" t="s">
        <v>72</v>
      </c>
      <c r="K44" t="s">
        <v>72</v>
      </c>
    </row>
    <row r="45" spans="1:11">
      <c r="A45" s="1" t="s">
        <v>54</v>
      </c>
      <c r="B45" t="s">
        <v>59</v>
      </c>
      <c r="D45" t="s">
        <v>67</v>
      </c>
    </row>
    <row r="46" spans="1:11">
      <c r="A46" s="1" t="s">
        <v>55</v>
      </c>
      <c r="B46" t="s">
        <v>59</v>
      </c>
      <c r="D46" t="s">
        <v>67</v>
      </c>
    </row>
    <row r="47" spans="1:11">
      <c r="A47" s="1" t="s">
        <v>56</v>
      </c>
      <c r="B47" t="s">
        <v>59</v>
      </c>
      <c r="D47" t="s">
        <v>67</v>
      </c>
    </row>
    <row r="48" spans="1:11">
      <c r="A48" s="1" t="s">
        <v>57</v>
      </c>
      <c r="B48" t="s">
        <v>60</v>
      </c>
      <c r="D48" t="s">
        <v>67</v>
      </c>
      <c r="F48" t="s">
        <v>73</v>
      </c>
      <c r="I48" t="s">
        <v>73</v>
      </c>
    </row>
    <row r="49" spans="1:11">
      <c r="A49" s="1" t="s">
        <v>58</v>
      </c>
      <c r="B49" t="s">
        <v>60</v>
      </c>
      <c r="D49" t="s">
        <v>67</v>
      </c>
      <c r="G49" t="s">
        <v>75</v>
      </c>
      <c r="K49" t="s">
        <v>75</v>
      </c>
    </row>
    <row r="50" spans="1:11">
      <c r="A50" s="1" t="s">
        <v>63</v>
      </c>
      <c r="B50" t="s">
        <v>71</v>
      </c>
      <c r="D50" t="s">
        <v>67</v>
      </c>
      <c r="J50" t="s">
        <v>76</v>
      </c>
    </row>
    <row r="51" spans="1:11">
      <c r="A51" s="1" t="s">
        <v>64</v>
      </c>
      <c r="B51" t="s">
        <v>59</v>
      </c>
      <c r="D51" t="s">
        <v>67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시트3"/>
  <dimension ref="A1:K51"/>
  <sheetViews>
    <sheetView workbookViewId="0">
      <selection activeCell="E2" sqref="E2:K51"/>
    </sheetView>
  </sheetViews>
  <sheetFormatPr baseColWidth="10" defaultRowHeight="18"/>
  <sheetData>
    <row r="1" spans="1:11">
      <c r="A1" s="1" t="s">
        <v>0</v>
      </c>
      <c r="B1" t="s">
        <v>1</v>
      </c>
      <c r="C1" t="s">
        <v>2</v>
      </c>
      <c r="D1" t="s">
        <v>10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</row>
    <row r="2" spans="1:11">
      <c r="A2" s="1" t="s">
        <v>11</v>
      </c>
      <c r="B2" t="s">
        <v>65</v>
      </c>
      <c r="D2" t="s">
        <v>66</v>
      </c>
    </row>
    <row r="3" spans="1:11">
      <c r="A3" s="1" t="s">
        <v>12</v>
      </c>
      <c r="B3" t="s">
        <v>59</v>
      </c>
      <c r="D3" t="s">
        <v>66</v>
      </c>
      <c r="E3" t="s">
        <v>72</v>
      </c>
      <c r="F3" t="s">
        <v>72</v>
      </c>
      <c r="G3" t="s">
        <v>72</v>
      </c>
      <c r="H3" t="s">
        <v>72</v>
      </c>
      <c r="I3" t="s">
        <v>72</v>
      </c>
      <c r="J3" t="s">
        <v>72</v>
      </c>
      <c r="K3" t="s">
        <v>72</v>
      </c>
    </row>
    <row r="4" spans="1:11">
      <c r="A4" s="1" t="s">
        <v>13</v>
      </c>
      <c r="B4" t="s">
        <v>71</v>
      </c>
      <c r="D4" t="s">
        <v>66</v>
      </c>
      <c r="E4" t="s">
        <v>76</v>
      </c>
      <c r="I4" t="s">
        <v>76</v>
      </c>
    </row>
    <row r="5" spans="1:11">
      <c r="A5" s="1" t="s">
        <v>14</v>
      </c>
      <c r="B5" t="s">
        <v>69</v>
      </c>
      <c r="D5" t="s">
        <v>66</v>
      </c>
    </row>
    <row r="6" spans="1:11">
      <c r="A6" s="1" t="s">
        <v>15</v>
      </c>
      <c r="B6" t="s">
        <v>65</v>
      </c>
      <c r="D6" t="s">
        <v>66</v>
      </c>
      <c r="J6" t="s">
        <v>62</v>
      </c>
    </row>
    <row r="7" spans="1:11">
      <c r="A7" s="1" t="s">
        <v>16</v>
      </c>
      <c r="B7" t="s">
        <v>71</v>
      </c>
      <c r="D7" t="s">
        <v>66</v>
      </c>
      <c r="F7" t="s">
        <v>76</v>
      </c>
      <c r="H7" t="s">
        <v>76</v>
      </c>
    </row>
    <row r="8" spans="1:11">
      <c r="A8" s="1" t="s">
        <v>17</v>
      </c>
      <c r="B8" t="s">
        <v>71</v>
      </c>
      <c r="D8" t="s">
        <v>66</v>
      </c>
      <c r="E8" t="s">
        <v>72</v>
      </c>
      <c r="F8" t="s">
        <v>72</v>
      </c>
      <c r="G8" t="s">
        <v>72</v>
      </c>
      <c r="H8" t="s">
        <v>72</v>
      </c>
      <c r="I8" t="s">
        <v>72</v>
      </c>
      <c r="J8" t="s">
        <v>72</v>
      </c>
      <c r="K8" t="s">
        <v>72</v>
      </c>
    </row>
    <row r="9" spans="1:11">
      <c r="A9" s="1" t="s">
        <v>18</v>
      </c>
      <c r="B9" t="s">
        <v>65</v>
      </c>
      <c r="D9" t="s">
        <v>66</v>
      </c>
    </row>
    <row r="10" spans="1:11">
      <c r="A10" s="1" t="s">
        <v>19</v>
      </c>
      <c r="B10" t="s">
        <v>60</v>
      </c>
      <c r="D10" t="s">
        <v>66</v>
      </c>
      <c r="E10" t="s">
        <v>73</v>
      </c>
      <c r="H10" t="s">
        <v>75</v>
      </c>
      <c r="K10" t="s">
        <v>62</v>
      </c>
    </row>
    <row r="11" spans="1:11">
      <c r="A11" s="1" t="s">
        <v>20</v>
      </c>
      <c r="B11" t="s">
        <v>70</v>
      </c>
      <c r="D11" t="s">
        <v>66</v>
      </c>
    </row>
    <row r="12" spans="1:11">
      <c r="A12" s="1" t="s">
        <v>21</v>
      </c>
      <c r="B12" t="s">
        <v>65</v>
      </c>
      <c r="D12" t="s">
        <v>66</v>
      </c>
      <c r="E12" t="s">
        <v>68</v>
      </c>
      <c r="F12" t="s">
        <v>68</v>
      </c>
      <c r="G12" t="s">
        <v>68</v>
      </c>
      <c r="H12" t="s">
        <v>68</v>
      </c>
      <c r="I12" t="s">
        <v>68</v>
      </c>
      <c r="J12" t="s">
        <v>68</v>
      </c>
      <c r="K12" t="s">
        <v>68</v>
      </c>
    </row>
    <row r="13" spans="1:11">
      <c r="A13" s="1" t="s">
        <v>22</v>
      </c>
      <c r="B13" t="s">
        <v>70</v>
      </c>
      <c r="D13" t="s">
        <v>66</v>
      </c>
      <c r="E13" t="s">
        <v>78</v>
      </c>
      <c r="G13" t="s">
        <v>78</v>
      </c>
    </row>
    <row r="14" spans="1:11">
      <c r="A14" s="1" t="s">
        <v>23</v>
      </c>
      <c r="B14" t="s">
        <v>59</v>
      </c>
      <c r="D14" t="s">
        <v>66</v>
      </c>
    </row>
    <row r="15" spans="1:11">
      <c r="A15" s="1" t="s">
        <v>24</v>
      </c>
      <c r="B15" t="s">
        <v>70</v>
      </c>
      <c r="D15" t="s">
        <v>66</v>
      </c>
      <c r="G15" t="s">
        <v>76</v>
      </c>
      <c r="J15" t="s">
        <v>61</v>
      </c>
    </row>
    <row r="16" spans="1:11">
      <c r="A16" s="1" t="s">
        <v>25</v>
      </c>
      <c r="B16" t="s">
        <v>65</v>
      </c>
      <c r="D16" t="s">
        <v>66</v>
      </c>
      <c r="J16" t="s">
        <v>62</v>
      </c>
    </row>
    <row r="17" spans="1:11">
      <c r="A17" s="1" t="s">
        <v>26</v>
      </c>
      <c r="B17" t="s">
        <v>70</v>
      </c>
      <c r="D17" t="s">
        <v>66</v>
      </c>
    </row>
    <row r="18" spans="1:11">
      <c r="A18" s="1" t="s">
        <v>27</v>
      </c>
      <c r="B18" t="s">
        <v>59</v>
      </c>
      <c r="D18" t="s">
        <v>66</v>
      </c>
      <c r="E18" t="s">
        <v>68</v>
      </c>
      <c r="F18" t="s">
        <v>68</v>
      </c>
      <c r="G18" t="s">
        <v>68</v>
      </c>
      <c r="H18" t="s">
        <v>68</v>
      </c>
      <c r="I18" t="s">
        <v>68</v>
      </c>
      <c r="J18" t="s">
        <v>68</v>
      </c>
      <c r="K18" t="s">
        <v>68</v>
      </c>
    </row>
    <row r="19" spans="1:11">
      <c r="A19" s="1" t="s">
        <v>28</v>
      </c>
      <c r="B19" t="s">
        <v>71</v>
      </c>
      <c r="D19" t="s">
        <v>66</v>
      </c>
      <c r="E19" t="s">
        <v>68</v>
      </c>
      <c r="F19" t="s">
        <v>68</v>
      </c>
      <c r="G19" t="s">
        <v>68</v>
      </c>
      <c r="H19" t="s">
        <v>68</v>
      </c>
      <c r="I19" t="s">
        <v>68</v>
      </c>
      <c r="J19" t="s">
        <v>68</v>
      </c>
      <c r="K19" t="s">
        <v>68</v>
      </c>
    </row>
    <row r="20" spans="1:11">
      <c r="A20" s="1" t="s">
        <v>29</v>
      </c>
      <c r="B20" t="s">
        <v>71</v>
      </c>
      <c r="D20" t="s">
        <v>66</v>
      </c>
      <c r="E20" t="s">
        <v>72</v>
      </c>
      <c r="F20" t="s">
        <v>72</v>
      </c>
      <c r="K20" t="s">
        <v>76</v>
      </c>
    </row>
    <row r="21" spans="1:11">
      <c r="A21" s="1" t="s">
        <v>30</v>
      </c>
      <c r="B21" t="s">
        <v>65</v>
      </c>
      <c r="D21" t="s">
        <v>66</v>
      </c>
    </row>
    <row r="22" spans="1:11">
      <c r="A22" s="1" t="s">
        <v>31</v>
      </c>
      <c r="B22" t="s">
        <v>59</v>
      </c>
      <c r="D22" t="s">
        <v>66</v>
      </c>
      <c r="J22" t="s">
        <v>61</v>
      </c>
    </row>
    <row r="23" spans="1:11">
      <c r="A23" s="1" t="s">
        <v>32</v>
      </c>
      <c r="B23" t="s">
        <v>71</v>
      </c>
      <c r="D23" t="s">
        <v>66</v>
      </c>
      <c r="F23" s="3" t="s">
        <v>77</v>
      </c>
    </row>
    <row r="24" spans="1:11">
      <c r="A24" s="1" t="s">
        <v>33</v>
      </c>
      <c r="B24" t="s">
        <v>71</v>
      </c>
      <c r="D24" t="s">
        <v>66</v>
      </c>
      <c r="J24" t="s">
        <v>76</v>
      </c>
    </row>
    <row r="25" spans="1:11">
      <c r="A25" s="1" t="s">
        <v>34</v>
      </c>
      <c r="B25" t="s">
        <v>60</v>
      </c>
      <c r="D25" t="s">
        <v>66</v>
      </c>
      <c r="J25" t="s">
        <v>74</v>
      </c>
    </row>
    <row r="26" spans="1:11">
      <c r="A26" s="1" t="s">
        <v>35</v>
      </c>
      <c r="B26" t="s">
        <v>65</v>
      </c>
      <c r="D26" t="s">
        <v>67</v>
      </c>
    </row>
    <row r="27" spans="1:11">
      <c r="A27" s="1" t="s">
        <v>36</v>
      </c>
      <c r="B27" t="s">
        <v>71</v>
      </c>
      <c r="D27" t="s">
        <v>67</v>
      </c>
      <c r="I27" t="s">
        <v>76</v>
      </c>
    </row>
    <row r="28" spans="1:11">
      <c r="A28" s="1" t="s">
        <v>37</v>
      </c>
      <c r="B28" t="s">
        <v>71</v>
      </c>
      <c r="D28" t="s">
        <v>67</v>
      </c>
      <c r="J28" t="s">
        <v>62</v>
      </c>
      <c r="K28" s="3" t="s">
        <v>77</v>
      </c>
    </row>
    <row r="29" spans="1:11">
      <c r="A29" s="1" t="s">
        <v>38</v>
      </c>
      <c r="B29" t="s">
        <v>65</v>
      </c>
      <c r="D29" t="s">
        <v>67</v>
      </c>
    </row>
    <row r="30" spans="1:11">
      <c r="A30" s="1" t="s">
        <v>39</v>
      </c>
      <c r="B30" t="s">
        <v>71</v>
      </c>
      <c r="D30" t="s">
        <v>67</v>
      </c>
      <c r="E30" t="s">
        <v>72</v>
      </c>
      <c r="F30" t="s">
        <v>72</v>
      </c>
      <c r="G30" t="s">
        <v>72</v>
      </c>
      <c r="H30" t="s">
        <v>72</v>
      </c>
      <c r="I30" t="s">
        <v>72</v>
      </c>
      <c r="J30" t="s">
        <v>72</v>
      </c>
      <c r="K30" t="s">
        <v>72</v>
      </c>
    </row>
    <row r="31" spans="1:11">
      <c r="A31" s="1" t="s">
        <v>40</v>
      </c>
      <c r="B31" t="s">
        <v>69</v>
      </c>
      <c r="D31" t="s">
        <v>67</v>
      </c>
    </row>
    <row r="32" spans="1:11">
      <c r="A32" s="1" t="s">
        <v>41</v>
      </c>
      <c r="B32" t="s">
        <v>69</v>
      </c>
      <c r="D32" t="s">
        <v>67</v>
      </c>
      <c r="E32" t="s">
        <v>68</v>
      </c>
      <c r="F32" t="s">
        <v>68</v>
      </c>
      <c r="G32" t="s">
        <v>68</v>
      </c>
      <c r="H32" t="s">
        <v>68</v>
      </c>
      <c r="I32" t="s">
        <v>68</v>
      </c>
      <c r="J32" t="s">
        <v>68</v>
      </c>
      <c r="K32" t="s">
        <v>68</v>
      </c>
    </row>
    <row r="33" spans="1:11">
      <c r="A33" s="1" t="s">
        <v>42</v>
      </c>
      <c r="B33" t="s">
        <v>71</v>
      </c>
      <c r="D33" t="s">
        <v>67</v>
      </c>
      <c r="H33" t="s">
        <v>76</v>
      </c>
    </row>
    <row r="34" spans="1:11">
      <c r="A34" s="1" t="s">
        <v>43</v>
      </c>
      <c r="B34" t="s">
        <v>71</v>
      </c>
      <c r="D34" t="s">
        <v>67</v>
      </c>
      <c r="J34" t="s">
        <v>61</v>
      </c>
    </row>
    <row r="35" spans="1:11">
      <c r="A35" s="1" t="s">
        <v>44</v>
      </c>
      <c r="B35" t="s">
        <v>65</v>
      </c>
      <c r="D35" t="s">
        <v>67</v>
      </c>
      <c r="K35" t="s">
        <v>62</v>
      </c>
    </row>
    <row r="36" spans="1:11">
      <c r="A36" s="1" t="s">
        <v>45</v>
      </c>
      <c r="B36" t="s">
        <v>71</v>
      </c>
      <c r="D36" t="s">
        <v>67</v>
      </c>
      <c r="H36" s="3" t="s">
        <v>77</v>
      </c>
      <c r="J36" s="3" t="s">
        <v>77</v>
      </c>
    </row>
    <row r="37" spans="1:11">
      <c r="A37" s="1" t="s">
        <v>46</v>
      </c>
      <c r="B37" t="s">
        <v>70</v>
      </c>
      <c r="D37" t="s">
        <v>67</v>
      </c>
      <c r="E37" t="s">
        <v>76</v>
      </c>
    </row>
    <row r="38" spans="1:11">
      <c r="A38" s="1" t="s">
        <v>47</v>
      </c>
      <c r="B38" t="s">
        <v>70</v>
      </c>
      <c r="D38" t="s">
        <v>67</v>
      </c>
      <c r="G38" s="3"/>
      <c r="I38" s="3" t="s">
        <v>77</v>
      </c>
    </row>
    <row r="39" spans="1:11">
      <c r="A39" s="1" t="s">
        <v>48</v>
      </c>
      <c r="B39" t="s">
        <v>70</v>
      </c>
      <c r="D39" t="s">
        <v>67</v>
      </c>
      <c r="F39" t="s">
        <v>72</v>
      </c>
      <c r="G39" t="s">
        <v>72</v>
      </c>
      <c r="H39" t="s">
        <v>72</v>
      </c>
      <c r="I39" t="s">
        <v>72</v>
      </c>
      <c r="J39" t="s">
        <v>62</v>
      </c>
    </row>
    <row r="40" spans="1:11">
      <c r="A40" s="1" t="s">
        <v>49</v>
      </c>
      <c r="B40" t="s">
        <v>70</v>
      </c>
      <c r="D40" t="s">
        <v>67</v>
      </c>
    </row>
    <row r="41" spans="1:11">
      <c r="A41" s="1" t="s">
        <v>50</v>
      </c>
      <c r="B41" t="s">
        <v>70</v>
      </c>
      <c r="D41" t="s">
        <v>67</v>
      </c>
      <c r="F41" t="s">
        <v>76</v>
      </c>
      <c r="J41" s="3"/>
    </row>
    <row r="42" spans="1:11">
      <c r="A42" s="1" t="s">
        <v>51</v>
      </c>
      <c r="B42" t="s">
        <v>70</v>
      </c>
      <c r="D42" t="s">
        <v>67</v>
      </c>
      <c r="G42" t="s">
        <v>76</v>
      </c>
      <c r="K42" t="s">
        <v>76</v>
      </c>
    </row>
    <row r="43" spans="1:11">
      <c r="A43" s="1" t="s">
        <v>52</v>
      </c>
      <c r="B43" t="s">
        <v>65</v>
      </c>
      <c r="D43" t="s">
        <v>67</v>
      </c>
    </row>
    <row r="44" spans="1:11">
      <c r="A44" s="1" t="s">
        <v>53</v>
      </c>
      <c r="B44" t="s">
        <v>71</v>
      </c>
      <c r="D44" t="s">
        <v>67</v>
      </c>
      <c r="E44" t="s">
        <v>72</v>
      </c>
      <c r="F44" t="s">
        <v>72</v>
      </c>
      <c r="G44" t="s">
        <v>72</v>
      </c>
      <c r="H44" t="s">
        <v>72</v>
      </c>
      <c r="I44" t="s">
        <v>72</v>
      </c>
      <c r="J44" t="s">
        <v>72</v>
      </c>
      <c r="K44" t="s">
        <v>72</v>
      </c>
    </row>
    <row r="45" spans="1:11">
      <c r="A45" s="1" t="s">
        <v>54</v>
      </c>
      <c r="B45" t="s">
        <v>59</v>
      </c>
      <c r="D45" t="s">
        <v>67</v>
      </c>
    </row>
    <row r="46" spans="1:11">
      <c r="A46" s="1" t="s">
        <v>55</v>
      </c>
      <c r="B46" t="s">
        <v>59</v>
      </c>
      <c r="D46" t="s">
        <v>67</v>
      </c>
    </row>
    <row r="47" spans="1:11">
      <c r="A47" s="1" t="s">
        <v>56</v>
      </c>
      <c r="B47" t="s">
        <v>59</v>
      </c>
      <c r="D47" t="s">
        <v>67</v>
      </c>
    </row>
    <row r="48" spans="1:11">
      <c r="A48" s="1" t="s">
        <v>57</v>
      </c>
      <c r="B48" t="s">
        <v>60</v>
      </c>
      <c r="D48" t="s">
        <v>67</v>
      </c>
      <c r="F48" t="s">
        <v>73</v>
      </c>
      <c r="I48" t="s">
        <v>73</v>
      </c>
    </row>
    <row r="49" spans="1:11">
      <c r="A49" s="1" t="s">
        <v>58</v>
      </c>
      <c r="B49" t="s">
        <v>60</v>
      </c>
      <c r="D49" t="s">
        <v>67</v>
      </c>
      <c r="G49" t="s">
        <v>75</v>
      </c>
      <c r="K49" t="s">
        <v>75</v>
      </c>
    </row>
    <row r="50" spans="1:11">
      <c r="A50" s="1" t="s">
        <v>63</v>
      </c>
      <c r="B50" t="s">
        <v>71</v>
      </c>
      <c r="D50" t="s">
        <v>67</v>
      </c>
      <c r="J50" t="s">
        <v>76</v>
      </c>
    </row>
    <row r="51" spans="1:11">
      <c r="A51" s="1" t="s">
        <v>64</v>
      </c>
      <c r="B51" t="s">
        <v>59</v>
      </c>
      <c r="D51" t="s">
        <v>67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시트1</vt:lpstr>
      <vt:lpstr>상황1</vt:lpstr>
      <vt:lpstr>상황2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사용자</dc:creator>
  <cp:lastModifiedBy>USER</cp:lastModifiedBy>
  <dcterms:created xsi:type="dcterms:W3CDTF">2020-09-26T13:46:45Z</dcterms:created>
  <dcterms:modified xsi:type="dcterms:W3CDTF">2020-09-27T13:30:58Z</dcterms:modified>
</cp:coreProperties>
</file>